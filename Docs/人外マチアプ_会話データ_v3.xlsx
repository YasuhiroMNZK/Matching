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パラメータ" sheetId="2" r:id="rId5"/>
    <sheet state="visible" name="トピック" sheetId="3" r:id="rId6"/>
    <sheet state="visible" name="キャラ" sheetId="4" r:id="rId7"/>
    <sheet state="visible" name="会話" sheetId="5" r:id="rId8"/>
    <sheet state="visible" name="デート" sheetId="6" r:id="rId9"/>
    <sheet state="visible" name="汎用テキスト" sheetId="7" r:id="rId10"/>
    <sheet state="visible" name="進捗" sheetId="8" r:id="rId11"/>
  </sheets>
  <definedNames/>
  <calcPr/>
  <extLst>
    <ext uri="GoogleSheetsCustomDataVersion2">
      <go:sheetsCustomData xmlns:go="http://customooxmlschemas.google.com/" r:id="rId12" roundtripDataChecksum="NCO2ICBC7yvi8JiU9HdtXPG0MWgYWEyE8W6VepJG458="/>
    </ext>
  </extLst>
</workbook>
</file>

<file path=xl/sharedStrings.xml><?xml version="1.0" encoding="utf-8"?>
<sst xmlns="http://schemas.openxmlformats.org/spreadsheetml/2006/main" count="435" uniqueCount="249">
  <si>
    <t>項目</t>
  </si>
  <si>
    <r>
      <rPr>
        <rFont val="Noto Sans CJK SC"/>
        <b/>
        <color rgb="FF000000"/>
        <sz val="14.0"/>
      </rPr>
      <t xml:space="preserve">人外マチアプ ／ 会話データ管理シート </t>
    </r>
    <r>
      <rPr>
        <rFont val="Meiryo"/>
        <b/>
        <color rgb="FF000000"/>
        <sz val="14.0"/>
      </rPr>
      <t>v3</t>
    </r>
    <r>
      <rPr>
        <rFont val="Noto Sans CJK SC"/>
        <b/>
        <color rgb="FF000000"/>
        <sz val="14.0"/>
      </rPr>
      <t>（トピック別閾値・</t>
    </r>
    <r>
      <rPr>
        <rFont val="Meiryo"/>
        <b/>
        <color rgb="FF000000"/>
        <sz val="14.0"/>
      </rPr>
      <t>2</t>
    </r>
    <r>
      <rPr>
        <rFont val="Noto Sans CJK SC"/>
        <b/>
        <color rgb="FF000000"/>
        <sz val="14.0"/>
      </rPr>
      <t>層構成）</t>
    </r>
  </si>
  <si>
    <r>
      <rPr>
        <rFont val="Noto Sans CJK SC"/>
        <b/>
        <color rgb="FFFFFFFF"/>
        <sz val="10.0"/>
      </rPr>
      <t>キャラ</t>
    </r>
    <r>
      <rPr>
        <rFont val="Meiryo"/>
        <b/>
        <color rgb="FFFFFFFF"/>
        <sz val="10.0"/>
      </rPr>
      <t>ID</t>
    </r>
  </si>
  <si>
    <r>
      <rPr>
        <rFont val="Noto Sans CJK SC"/>
        <b/>
        <color rgb="FFFFFFFF"/>
        <sz val="10.0"/>
      </rPr>
      <t>トピック</t>
    </r>
    <r>
      <rPr>
        <rFont val="Meiryo"/>
        <b/>
        <color rgb="FFFFFFFF"/>
        <sz val="10.0"/>
      </rPr>
      <t>ID</t>
    </r>
  </si>
  <si>
    <t>値</t>
  </si>
  <si>
    <t>名前</t>
  </si>
  <si>
    <t>ジャンル</t>
  </si>
  <si>
    <t>説明</t>
  </si>
  <si>
    <t>閾値</t>
  </si>
  <si>
    <t>種族（人外）</t>
  </si>
  <si>
    <t>踏み込み度</t>
  </si>
  <si>
    <t>層</t>
  </si>
  <si>
    <t>質問枠（全キャラ共通）</t>
  </si>
  <si>
    <r>
      <rPr>
        <rFont val="Noto Sans CJK SC"/>
        <b/>
        <color rgb="FF000000"/>
        <sz val="11.0"/>
      </rPr>
      <t>【コマンドは</t>
    </r>
    <r>
      <rPr>
        <rFont val="Meiryo"/>
        <b/>
        <color rgb="FF000000"/>
        <sz val="11.0"/>
      </rPr>
      <t>3</t>
    </r>
    <r>
      <rPr>
        <rFont val="Noto Sans CJK SC"/>
        <b/>
        <color rgb="FF000000"/>
        <sz val="11.0"/>
      </rPr>
      <t>つ。どれを選んでもトピックが</t>
    </r>
    <r>
      <rPr>
        <rFont val="Meiryo"/>
        <b/>
        <color rgb="FF000000"/>
        <sz val="11.0"/>
      </rPr>
      <t>1</t>
    </r>
    <r>
      <rPr>
        <rFont val="Noto Sans CJK SC"/>
        <b/>
        <color rgb="FF000000"/>
        <sz val="11.0"/>
      </rPr>
      <t>個消える。</t>
    </r>
    <r>
      <rPr>
        <rFont val="Meiryo"/>
        <b/>
        <color rgb="FF000000"/>
        <sz val="11.0"/>
      </rPr>
      <t>1</t>
    </r>
    <r>
      <rPr>
        <rFont val="Noto Sans CJK SC"/>
        <b/>
        <color rgb="FF000000"/>
        <sz val="11.0"/>
      </rPr>
      <t>トピック＝</t>
    </r>
    <r>
      <rPr>
        <rFont val="Meiryo"/>
        <b/>
        <color rgb="FF000000"/>
        <sz val="11.0"/>
      </rPr>
      <t>1</t>
    </r>
    <r>
      <rPr>
        <rFont val="Noto Sans CJK SC"/>
        <b/>
        <color rgb="FF000000"/>
        <sz val="11.0"/>
      </rPr>
      <t>ターン】</t>
    </r>
  </si>
  <si>
    <t>初期本音度</t>
  </si>
  <si>
    <t>トピック数</t>
  </si>
  <si>
    <t>使う層</t>
  </si>
  <si>
    <t>品詞ルール</t>
  </si>
  <si>
    <r>
      <rPr>
        <rFont val="Noto Sans CJK SC"/>
        <color rgb="FF000000"/>
        <sz val="11.0"/>
      </rPr>
      <t xml:space="preserve">　相槌   … 本音度 </t>
    </r>
    <r>
      <rPr>
        <rFont val="Meiryo"/>
        <color rgb="FF000000"/>
        <sz val="11.0"/>
      </rPr>
      <t>+20</t>
    </r>
    <r>
      <rPr>
        <rFont val="Noto Sans CJK SC"/>
        <color rgb="FF000000"/>
        <sz val="11.0"/>
      </rPr>
      <t>。軸の断片が漏れる。カードなし。</t>
    </r>
  </si>
  <si>
    <t>P1</t>
  </si>
  <si>
    <r>
      <rPr>
        <rFont val="Noto Sans CJK SC"/>
        <color rgb="FF000000"/>
        <sz val="11.0"/>
      </rPr>
      <t xml:space="preserve">　深堀   … 語群カード</t>
    </r>
    <r>
      <rPr>
        <rFont val="Meiryo"/>
        <color rgb="FF000000"/>
        <sz val="11.0"/>
      </rPr>
      <t>1</t>
    </r>
    <r>
      <rPr>
        <rFont val="Noto Sans CJK SC"/>
        <color rgb="FF000000"/>
        <sz val="11.0"/>
      </rPr>
      <t>枚。本音度 −</t>
    </r>
    <r>
      <rPr>
        <rFont val="Meiryo"/>
        <color rgb="FF000000"/>
        <sz val="11.0"/>
      </rPr>
      <t>15</t>
    </r>
    <r>
      <rPr>
        <rFont val="Noto Sans CJK SC"/>
        <color rgb="FF000000"/>
        <sz val="11.0"/>
      </rPr>
      <t>。</t>
    </r>
  </si>
  <si>
    <t>会話開始時。キャラシートで個別に上書き可</t>
  </si>
  <si>
    <t xml:space="preserve">　世間話 … 次のジャンルを指定できる。他に得るものなし。</t>
  </si>
  <si>
    <t>◆ 軸（真の語群はこの方向）</t>
  </si>
  <si>
    <t>場所</t>
  </si>
  <si>
    <t>【トピックごとに閾値がある（プレイヤーには非表示）】</t>
  </si>
  <si>
    <t>相槌の増加</t>
  </si>
  <si>
    <t>◆ 嘘の方向（偽の語群はこの方向）</t>
  </si>
  <si>
    <t>深堀した瞬間の本音度が、そのトピックの閾値以上なら「真の語群」、未満なら「偽の語群」。</t>
  </si>
  <si>
    <r>
      <rPr>
        <rFont val="Noto Sans CJK SC"/>
        <color theme="1"/>
        <sz val="10.0"/>
      </rPr>
      <t>トピックを</t>
    </r>
    <r>
      <rPr>
        <rFont val="Meiryo"/>
        <color theme="1"/>
        <sz val="10.0"/>
      </rPr>
      <t>1</t>
    </r>
    <r>
      <rPr>
        <rFont val="Noto Sans CJK SC"/>
        <color theme="1"/>
        <sz val="10.0"/>
      </rPr>
      <t>個消費。軸の断片が漏れる</t>
    </r>
  </si>
  <si>
    <r>
      <rPr>
        <rFont val="Noto Sans CJK SC"/>
        <color rgb="FF000000"/>
        <sz val="11.0"/>
      </rPr>
      <t xml:space="preserve">　閾値</t>
    </r>
    <r>
      <rPr>
        <rFont val="Meiryo"/>
        <color rgb="FF000000"/>
        <sz val="11.0"/>
      </rPr>
      <t xml:space="preserve">45 … </t>
    </r>
    <r>
      <rPr>
        <rFont val="Noto Sans CJK SC"/>
        <color rgb="FF000000"/>
        <sz val="11.0"/>
      </rPr>
      <t>軽い話題。序盤でも掘れる。</t>
    </r>
  </si>
  <si>
    <r>
      <rPr>
        <rFont val="Noto Sans CJK SC"/>
        <b/>
        <color rgb="FFFFFFFF"/>
        <sz val="10.0"/>
      </rPr>
      <t>◆ 核心（</t>
    </r>
    <r>
      <rPr>
        <rFont val="Meiryo"/>
        <b/>
        <color rgb="FFFFFFFF"/>
        <sz val="10.0"/>
      </rPr>
      <t>W2</t>
    </r>
    <r>
      <rPr>
        <rFont val="Noto Sans CJK SC"/>
        <b/>
        <color rgb="FFFFFFFF"/>
        <sz val="10.0"/>
      </rPr>
      <t>・本命のみ）</t>
    </r>
  </si>
  <si>
    <t>深堀の減少</t>
  </si>
  <si>
    <r>
      <rPr>
        <rFont val="Noto Sans CJK SC"/>
        <color rgb="FF000000"/>
        <sz val="11.0"/>
      </rPr>
      <t xml:space="preserve">　閾値</t>
    </r>
    <r>
      <rPr>
        <rFont val="Meiryo"/>
        <color rgb="FF000000"/>
        <sz val="11.0"/>
      </rPr>
      <t xml:space="preserve">60 … </t>
    </r>
    <r>
      <rPr>
        <rFont val="Noto Sans CJK SC"/>
        <color rgb="FF000000"/>
        <sz val="11.0"/>
      </rPr>
      <t>普通。</t>
    </r>
  </si>
  <si>
    <t>プロフィール文</t>
  </si>
  <si>
    <t>軽い</t>
  </si>
  <si>
    <r>
      <rPr>
        <rFont val="Noto Sans CJK SC"/>
        <color theme="1"/>
        <sz val="10.0"/>
      </rPr>
      <t>トピックを</t>
    </r>
    <r>
      <rPr>
        <rFont val="Meiryo"/>
        <color theme="1"/>
        <sz val="10.0"/>
      </rPr>
      <t>1</t>
    </r>
    <r>
      <rPr>
        <rFont val="Noto Sans CJK SC"/>
        <color theme="1"/>
        <sz val="10.0"/>
      </rPr>
      <t>個消費。語群カード</t>
    </r>
    <r>
      <rPr>
        <rFont val="Meiryo"/>
        <color theme="1"/>
        <sz val="10.0"/>
      </rPr>
      <t>1</t>
    </r>
    <r>
      <rPr>
        <rFont val="Noto Sans CJK SC"/>
        <color theme="1"/>
        <sz val="10.0"/>
      </rPr>
      <t>枚</t>
    </r>
  </si>
  <si>
    <r>
      <rPr>
        <rFont val="Noto Sans CJK SC"/>
        <color rgb="FF000000"/>
        <sz val="11.0"/>
      </rPr>
      <t xml:space="preserve">　閾値</t>
    </r>
    <r>
      <rPr>
        <rFont val="Meiryo"/>
        <color rgb="FF000000"/>
        <sz val="11.0"/>
      </rPr>
      <t xml:space="preserve">80 … </t>
    </r>
    <r>
      <rPr>
        <rFont val="Noto Sans CJK SC"/>
        <color rgb="FF000000"/>
        <sz val="11.0"/>
      </rPr>
      <t>踏み込む話題。相手が明らかに身構えている。温めてからでないと嘘が返る。</t>
    </r>
  </si>
  <si>
    <t>第一声</t>
  </si>
  <si>
    <t>世間話の増減</t>
  </si>
  <si>
    <r>
      <rPr>
        <rFont val="Noto Sans CJK SC"/>
        <color rgb="FFC0392B"/>
        <sz val="11.0"/>
      </rPr>
      <t>★導入セリフの温度が、閾値の唯一の手がかり。閾値</t>
    </r>
    <r>
      <rPr>
        <rFont val="Meiryo"/>
        <color rgb="FFC0392B"/>
        <sz val="11.0"/>
      </rPr>
      <t>80</t>
    </r>
    <r>
      <rPr>
        <rFont val="Noto Sans CJK SC"/>
        <color rgb="FFC0392B"/>
        <sz val="11.0"/>
      </rPr>
      <t>のトピックは、相手が渋る書き方にすること。</t>
    </r>
  </si>
  <si>
    <t>①解決しなければいけない問題</t>
  </si>
  <si>
    <t>最近いった場所</t>
  </si>
  <si>
    <r>
      <rPr>
        <rFont val="Noto Sans CJK SC"/>
        <color theme="1"/>
        <sz val="10.0"/>
      </rPr>
      <t>トピックを</t>
    </r>
    <r>
      <rPr>
        <rFont val="Meiryo"/>
        <color theme="1"/>
        <sz val="10.0"/>
      </rPr>
      <t>1</t>
    </r>
    <r>
      <rPr>
        <rFont val="Noto Sans CJK SC"/>
        <color theme="1"/>
        <sz val="10.0"/>
      </rPr>
      <t>個消費。次のジャンルを指定できる</t>
    </r>
  </si>
  <si>
    <r>
      <rPr>
        <rFont val="Noto Sans CJK SC"/>
        <color rgb="FF000000"/>
        <sz val="11.0"/>
      </rPr>
      <t xml:space="preserve">　例）閾値</t>
    </r>
    <r>
      <rPr>
        <rFont val="Meiryo"/>
        <color rgb="FF000000"/>
        <sz val="11.0"/>
      </rPr>
      <t xml:space="preserve">80 → </t>
    </r>
    <r>
      <rPr>
        <rFont val="Noto Sans CJK SC"/>
        <color rgb="FF000000"/>
        <sz val="11.0"/>
      </rPr>
      <t>「……地元の話は、あんましたないねんけど。」</t>
    </r>
  </si>
  <si>
    <t>閾値・軽い</t>
  </si>
  <si>
    <t>本命・モブ</t>
  </si>
  <si>
    <t>名詞</t>
  </si>
  <si>
    <t>序盤でも掘れる話題</t>
  </si>
  <si>
    <t>②面白い解決方法</t>
  </si>
  <si>
    <t>【軸システム】</t>
  </si>
  <si>
    <t>P2</t>
  </si>
  <si>
    <t>閾値・普通</t>
  </si>
  <si>
    <t>標準</t>
  </si>
  <si>
    <t>閾値・踏み込む</t>
  </si>
  <si>
    <r>
      <rPr>
        <rFont val="Noto Sans CJK SC"/>
        <strike/>
        <color rgb="FF000000"/>
        <sz val="11.0"/>
      </rPr>
      <t>キャラごとに「軸」を</t>
    </r>
    <r>
      <rPr>
        <rFont val="Meiryo"/>
        <strike/>
        <color rgb="FF000000"/>
        <sz val="11.0"/>
      </rPr>
      <t>1</t>
    </r>
    <r>
      <rPr>
        <rFont val="Noto Sans CJK SC"/>
        <strike/>
        <color rgb="FF000000"/>
        <sz val="11.0"/>
      </rPr>
      <t>本だけ決める。これが設計のすべて。</t>
    </r>
  </si>
  <si>
    <t>C01</t>
  </si>
  <si>
    <t>相手が身構える話題。導入セリフで渋らせること</t>
  </si>
  <si>
    <t>弱音の解放閾値</t>
  </si>
  <si>
    <t>普通</t>
  </si>
  <si>
    <t xml:space="preserve">　真の語群 → 必ず軸に沿う／偽の語群 → 必ず軸に反する（＝見栄）</t>
  </si>
  <si>
    <t>世間話で弱音を選べるようになる本音度</t>
  </si>
  <si>
    <t>核心の解放閾値</t>
  </si>
  <si>
    <t xml:space="preserve">　相槌の反応 → 軸の断片が漏れる（カードにはならない）</t>
  </si>
  <si>
    <t>これで矛盾ペアを個別に組む必要がない。真は全部同じ方向、偽は全部逆方向だから、勝手に矛盾する。</t>
  </si>
  <si>
    <t>アリエル</t>
  </si>
  <si>
    <t>行ってみたい場所</t>
  </si>
  <si>
    <t>本命</t>
  </si>
  <si>
    <t>【★語群の品詞ルール（守らないとデート文が壊れる）】</t>
  </si>
  <si>
    <r>
      <rPr>
        <rFont val="Noto Sans CJK SC"/>
        <color theme="1"/>
        <sz val="10.0"/>
      </rPr>
      <t>弱音</t>
    </r>
    <r>
      <rPr>
        <rFont val="Meiryo"/>
        <color theme="1"/>
        <sz val="10.0"/>
      </rPr>
      <t>#2</t>
    </r>
    <r>
      <rPr>
        <rFont val="Noto Sans CJK SC"/>
        <color theme="1"/>
        <sz val="10.0"/>
      </rPr>
      <t>（</t>
    </r>
    <r>
      <rPr>
        <rFont val="Meiryo"/>
        <color theme="1"/>
        <sz val="10.0"/>
      </rPr>
      <t>W2</t>
    </r>
    <r>
      <rPr>
        <rFont val="Noto Sans CJK SC"/>
        <color theme="1"/>
        <sz val="10.0"/>
      </rPr>
      <t>）に到達できる本音度</t>
    </r>
  </si>
  <si>
    <r>
      <rPr>
        <rFont val="Noto Sans CJK SC"/>
        <color rgb="FF000000"/>
        <sz val="11.0"/>
      </rPr>
      <t>デートは、集めた</t>
    </r>
    <r>
      <rPr>
        <rFont val="Meiryo"/>
        <color rgb="FF000000"/>
        <sz val="11.0"/>
      </rPr>
      <t>3</t>
    </r>
    <r>
      <rPr>
        <rFont val="Noto Sans CJK SC"/>
        <color rgb="FF000000"/>
        <sz val="11.0"/>
      </rPr>
      <t>枚のカードで文を組み立てる：</t>
    </r>
  </si>
  <si>
    <t>P3</t>
  </si>
  <si>
    <t>デートのスロット数</t>
  </si>
  <si>
    <t xml:space="preserve">　「｛場所｝ に行って、｛行動｝。｛目的｝。」</t>
  </si>
  <si>
    <t>人魚</t>
  </si>
  <si>
    <t>場所・行動・目的。弱音カードは入らない</t>
  </si>
  <si>
    <t xml:space="preserve">　場所 → 名詞　　　　　例）廃駅／誰もいない展望台</t>
  </si>
  <si>
    <t xml:space="preserve">　行動 → 動詞（終止形）例）星を見る／夜通しラジオを聴く</t>
  </si>
  <si>
    <t>本命のトピック数</t>
  </si>
  <si>
    <t>踏み込む</t>
  </si>
  <si>
    <t xml:space="preserve">　目的 → 「〜から」　　例）静かな時間を分けたいから</t>
  </si>
  <si>
    <t>真で組むと：「廃駅に行って、星を見る。静かな時間を分けたいから。」</t>
  </si>
  <si>
    <r>
      <rPr>
        <rFont val="Noto Sans CJK SC"/>
        <color theme="1"/>
        <sz val="10.0"/>
      </rPr>
      <t>場所</t>
    </r>
    <r>
      <rPr>
        <rFont val="Meiryo"/>
        <color theme="1"/>
        <sz val="10.0"/>
      </rPr>
      <t>3</t>
    </r>
    <r>
      <rPr>
        <rFont val="Noto Sans CJK SC"/>
        <color theme="1"/>
        <sz val="10.0"/>
      </rPr>
      <t>・行動</t>
    </r>
    <r>
      <rPr>
        <rFont val="Meiryo"/>
        <color theme="1"/>
        <sz val="10.0"/>
      </rPr>
      <t>3</t>
    </r>
    <r>
      <rPr>
        <rFont val="Noto Sans CJK SC"/>
        <color theme="1"/>
        <sz val="10.0"/>
      </rPr>
      <t>・目的</t>
    </r>
    <r>
      <rPr>
        <rFont val="Meiryo"/>
        <color theme="1"/>
        <sz val="10.0"/>
      </rPr>
      <t>3</t>
    </r>
    <r>
      <rPr>
        <rFont val="Noto Sans CJK SC"/>
        <color theme="1"/>
        <sz val="10.0"/>
      </rPr>
      <t>・弱音</t>
    </r>
    <r>
      <rPr>
        <rFont val="Meiryo"/>
        <color theme="1"/>
        <sz val="10.0"/>
      </rPr>
      <t>2</t>
    </r>
  </si>
  <si>
    <t>偽が混ざると：「話題のカフェに行って、ジムで汗を流す。人脈を広げたいから。」← 別人になる</t>
  </si>
  <si>
    <t>モブのトピック数</t>
  </si>
  <si>
    <t>出身地</t>
  </si>
  <si>
    <r>
      <rPr>
        <rFont val="Noto Sans CJK SC"/>
        <color theme="1"/>
        <sz val="10.0"/>
      </rPr>
      <t>各ジャンル</t>
    </r>
    <r>
      <rPr>
        <rFont val="Meiryo"/>
        <color theme="1"/>
        <sz val="10.0"/>
      </rPr>
      <t>1</t>
    </r>
    <r>
      <rPr>
        <rFont val="Noto Sans CJK SC"/>
        <color theme="1"/>
        <sz val="10.0"/>
      </rPr>
      <t>・弱音なし・嘘なし</t>
    </r>
  </si>
  <si>
    <t>【弱音ジャンル】</t>
  </si>
  <si>
    <r>
      <rPr>
        <rFont val="Noto Sans CJK SC"/>
        <color rgb="FF000000"/>
        <sz val="11.0"/>
      </rPr>
      <t>本音度</t>
    </r>
    <r>
      <rPr>
        <rFont val="Meiryo"/>
        <color rgb="FF000000"/>
        <sz val="11.0"/>
      </rPr>
      <t>70</t>
    </r>
    <r>
      <rPr>
        <rFont val="Noto Sans CJK SC"/>
        <color rgb="FF000000"/>
        <sz val="11.0"/>
      </rPr>
      <t>以上のときに［世間話］で選んだ場合のみ到達。</t>
    </r>
    <r>
      <rPr>
        <rFont val="Meiryo"/>
        <color rgb="FF000000"/>
        <sz val="11.0"/>
      </rPr>
      <t>W2</t>
    </r>
    <r>
      <rPr>
        <rFont val="Noto Sans CJK SC"/>
        <color rgb="FF000000"/>
        <sz val="11.0"/>
      </rPr>
      <t>（核心）は本音度</t>
    </r>
    <r>
      <rPr>
        <rFont val="Meiryo"/>
        <color rgb="FF000000"/>
        <sz val="11.0"/>
      </rPr>
      <t>90</t>
    </r>
    <r>
      <rPr>
        <rFont val="Noto Sans CJK SC"/>
        <color rgb="FF000000"/>
        <sz val="11.0"/>
      </rPr>
      <t>以上。</t>
    </r>
  </si>
  <si>
    <t>A1</t>
  </si>
  <si>
    <t>行動</t>
  </si>
  <si>
    <t>弱音を深堀ると軸カードが手に入り、手札の真偽が確定する。スロットには入らない。</t>
  </si>
  <si>
    <t>常に本音度が閾値を超えているので、弱音トピックに偽ルートはない（深堀・偽は空欄）。</t>
  </si>
  <si>
    <t>休みの日、何してる？</t>
  </si>
  <si>
    <r>
      <rPr>
        <rFont val="Noto Sans CJK SC"/>
        <b/>
        <color rgb="FF000000"/>
        <sz val="11.0"/>
      </rPr>
      <t>【キャラは</t>
    </r>
    <r>
      <rPr>
        <rFont val="Meiryo"/>
        <b/>
        <color rgb="FF000000"/>
        <sz val="11.0"/>
      </rPr>
      <t>2</t>
    </r>
    <r>
      <rPr>
        <rFont val="Noto Sans CJK SC"/>
        <b/>
        <color rgb="FF000000"/>
        <sz val="11.0"/>
      </rPr>
      <t>層だけ】</t>
    </r>
  </si>
  <si>
    <t>動詞（終止形）</t>
  </si>
  <si>
    <r>
      <rPr>
        <rFont val="Noto Sans CJK SC"/>
        <color rgb="FF000000"/>
        <sz val="11.0"/>
      </rPr>
      <t xml:space="preserve">　本命 </t>
    </r>
    <r>
      <rPr>
        <rFont val="Meiryo"/>
        <color rgb="FF000000"/>
        <sz val="11.0"/>
      </rPr>
      <t>3</t>
    </r>
    <r>
      <rPr>
        <rFont val="Noto Sans CJK SC"/>
        <color rgb="FF000000"/>
        <sz val="11.0"/>
      </rPr>
      <t xml:space="preserve">人 … </t>
    </r>
    <r>
      <rPr>
        <rFont val="Meiryo"/>
        <color rgb="FF000000"/>
        <sz val="11.0"/>
      </rPr>
      <t>11</t>
    </r>
    <r>
      <rPr>
        <rFont val="Noto Sans CJK SC"/>
        <color rgb="FF000000"/>
        <sz val="11.0"/>
      </rPr>
      <t>トピック（場所</t>
    </r>
    <r>
      <rPr>
        <rFont val="Meiryo"/>
        <color rgb="FF000000"/>
        <sz val="11.0"/>
      </rPr>
      <t>3</t>
    </r>
    <r>
      <rPr>
        <rFont val="Noto Sans CJK SC"/>
        <color rgb="FF000000"/>
        <sz val="11.0"/>
      </rPr>
      <t>・行動</t>
    </r>
    <r>
      <rPr>
        <rFont val="Meiryo"/>
        <color rgb="FF000000"/>
        <sz val="11.0"/>
      </rPr>
      <t>3</t>
    </r>
    <r>
      <rPr>
        <rFont val="Noto Sans CJK SC"/>
        <color rgb="FF000000"/>
        <sz val="11.0"/>
      </rPr>
      <t>・目的</t>
    </r>
    <r>
      <rPr>
        <rFont val="Meiryo"/>
        <color rgb="FF000000"/>
        <sz val="11.0"/>
      </rPr>
      <t>3</t>
    </r>
    <r>
      <rPr>
        <rFont val="Noto Sans CJK SC"/>
        <color rgb="FF000000"/>
        <sz val="11.0"/>
      </rPr>
      <t>・弱音</t>
    </r>
    <r>
      <rPr>
        <rFont val="Meiryo"/>
        <color rgb="FF000000"/>
        <sz val="11.0"/>
      </rPr>
      <t>2</t>
    </r>
    <r>
      <rPr>
        <rFont val="Noto Sans CJK SC"/>
        <color rgb="FF000000"/>
        <sz val="11.0"/>
      </rPr>
      <t>）。嘘をつく。軸がある。</t>
    </r>
  </si>
  <si>
    <t>A2</t>
  </si>
  <si>
    <r>
      <rPr>
        <rFont val="Noto Sans CJK SC"/>
        <color rgb="FF000000"/>
        <sz val="11.0"/>
      </rPr>
      <t xml:space="preserve">　モブ </t>
    </r>
    <r>
      <rPr>
        <rFont val="Meiryo"/>
        <color rgb="FF000000"/>
        <sz val="11.0"/>
      </rPr>
      <t>7</t>
    </r>
    <r>
      <rPr>
        <rFont val="Noto Sans CJK SC"/>
        <color rgb="FF000000"/>
        <sz val="11.0"/>
      </rPr>
      <t xml:space="preserve">人 … </t>
    </r>
    <r>
      <rPr>
        <rFont val="Meiryo"/>
        <color rgb="FF000000"/>
        <sz val="11.0"/>
      </rPr>
      <t>3</t>
    </r>
    <r>
      <rPr>
        <rFont val="Noto Sans CJK SC"/>
        <color rgb="FF000000"/>
        <sz val="11.0"/>
      </rPr>
      <t>トピック（各ジャンル</t>
    </r>
    <r>
      <rPr>
        <rFont val="Meiryo"/>
        <color rgb="FF000000"/>
        <sz val="11.0"/>
      </rPr>
      <t>1</t>
    </r>
    <r>
      <rPr>
        <rFont val="Noto Sans CJK SC"/>
        <color rgb="FF000000"/>
        <sz val="11.0"/>
      </rPr>
      <t>・閾値</t>
    </r>
    <r>
      <rPr>
        <rFont val="Meiryo"/>
        <color rgb="FF000000"/>
        <sz val="11.0"/>
      </rPr>
      <t>45</t>
    </r>
    <r>
      <rPr>
        <rFont val="Noto Sans CJK SC"/>
        <color rgb="FF000000"/>
        <sz val="11.0"/>
      </rPr>
      <t>）。嘘をつかない。弱音なし。</t>
    </r>
    <r>
      <rPr>
        <rFont val="Meiryo"/>
        <color rgb="FF000000"/>
        <sz val="11.0"/>
      </rPr>
      <t>3</t>
    </r>
    <r>
      <rPr>
        <rFont val="Noto Sans CJK SC"/>
        <color rgb="FF000000"/>
        <sz val="11.0"/>
      </rPr>
      <t>ターンで終わる。</t>
    </r>
  </si>
  <si>
    <r>
      <rPr>
        <rFont val="Noto Sans CJK SC"/>
        <color rgb="FFC0392B"/>
        <sz val="11.0"/>
      </rPr>
      <t>★「準」層は作らない。各ジャンル</t>
    </r>
    <r>
      <rPr>
        <rFont val="Meiryo"/>
        <color rgb="FFC0392B"/>
        <sz val="11.0"/>
      </rPr>
      <t>2</t>
    </r>
    <r>
      <rPr>
        <rFont val="Noto Sans CJK SC"/>
        <color rgb="FFC0392B"/>
        <sz val="11.0"/>
      </rPr>
      <t>個だとシミュレーション上、弱音に永久に到達できず、</t>
    </r>
  </si>
  <si>
    <r>
      <rPr>
        <rFont val="Noto Sans CJK SC"/>
        <color rgb="FFC0392B"/>
        <sz val="11.0"/>
      </rPr>
      <t xml:space="preserve">　最後の</t>
    </r>
    <r>
      <rPr>
        <rFont val="Meiryo"/>
        <color rgb="FFC0392B"/>
        <sz val="11.0"/>
      </rPr>
      <t>1</t>
    </r>
    <r>
      <rPr>
        <rFont val="Noto Sans CJK SC"/>
        <color rgb="FFC0392B"/>
        <sz val="11.0"/>
      </rPr>
      <t>トピックを賭けで掘らされて</t>
    </r>
    <r>
      <rPr>
        <rFont val="Meiryo"/>
        <color rgb="FFC0392B"/>
        <sz val="11.0"/>
      </rPr>
      <t>37%</t>
    </r>
    <r>
      <rPr>
        <rFont val="Noto Sans CJK SC"/>
        <color rgb="FFC0392B"/>
        <sz val="11.0"/>
      </rPr>
      <t>失敗する。構造的に破綻する。</t>
    </r>
  </si>
  <si>
    <t>【シートの色】</t>
  </si>
  <si>
    <r>
      <rPr>
        <rFont val="Noto Sans CJK SC"/>
        <color rgb="FF000000"/>
        <sz val="11.0"/>
      </rPr>
      <t>黄色＝手で入力／ピンク＝軸（最初に決める）／グレー＝自動計算／緑＝記入例（メル</t>
    </r>
    <r>
      <rPr>
        <rFont val="Meiryo"/>
        <color rgb="FF000000"/>
        <sz val="11.0"/>
      </rPr>
      <t>11</t>
    </r>
    <r>
      <rPr>
        <rFont val="Noto Sans CJK SC"/>
        <color rgb="FF000000"/>
        <sz val="11.0"/>
      </rPr>
      <t>トピック全部）</t>
    </r>
  </si>
  <si>
    <t>最近ハマってること</t>
  </si>
  <si>
    <t>【書く順序】</t>
  </si>
  <si>
    <r>
      <rPr>
        <rFont val="Noto Sans CJK SC"/>
        <color rgb="FF000000"/>
        <sz val="11.0"/>
      </rPr>
      <t>① キャラシートで「軸」「嘘の方向」「核心」を決める ← ここが</t>
    </r>
    <r>
      <rPr>
        <rFont val="Meiryo"/>
        <color rgb="FF000000"/>
        <sz val="11.0"/>
      </rPr>
      <t>9</t>
    </r>
    <r>
      <rPr>
        <rFont val="Noto Sans CJK SC"/>
        <color rgb="FF000000"/>
        <sz val="11.0"/>
      </rPr>
      <t>割</t>
    </r>
  </si>
  <si>
    <t>② 会話シートで、真は軸に沿って／偽は軸に反して書く。品詞ルールを守る。</t>
  </si>
  <si>
    <r>
      <rPr>
        <rFont val="Noto Sans CJK SC"/>
        <color rgb="FF000000"/>
        <sz val="11.0"/>
      </rPr>
      <t>③ 閾値</t>
    </r>
    <r>
      <rPr>
        <rFont val="Meiryo"/>
        <color rgb="FF000000"/>
        <sz val="11.0"/>
      </rPr>
      <t>80</t>
    </r>
    <r>
      <rPr>
        <rFont val="Noto Sans CJK SC"/>
        <color rgb="FF000000"/>
        <sz val="11.0"/>
      </rPr>
      <t>のトピックは、導入セリフで相手を渋らせる。</t>
    </r>
  </si>
  <si>
    <t>A3</t>
  </si>
  <si>
    <r>
      <rPr>
        <rFont val="Noto Sans CJK SC"/>
        <color rgb="FF000000"/>
        <sz val="11.0"/>
      </rPr>
      <t>※ パラメータの数値は</t>
    </r>
    <r>
      <rPr>
        <rFont val="Meiryo"/>
        <color rgb="FF000000"/>
        <sz val="11.0"/>
      </rPr>
      <t>2</t>
    </r>
    <r>
      <rPr>
        <rFont val="Noto Sans CJK SC"/>
        <color rgb="FF000000"/>
        <sz val="11.0"/>
      </rPr>
      <t>万回シミュレーションで検証済み。ただし人間のプレイでは要再調整。</t>
    </r>
  </si>
  <si>
    <t>ひとりの時間の過ごし方</t>
  </si>
  <si>
    <t>G1</t>
  </si>
  <si>
    <t>目的</t>
  </si>
  <si>
    <t>なんでこのアプリ入れたん？</t>
  </si>
  <si>
    <t>〜から</t>
  </si>
  <si>
    <t>G2</t>
  </si>
  <si>
    <t>人を避ける・誰にも見つかりたくない</t>
  </si>
  <si>
    <t>どういう人がタイプ？</t>
  </si>
  <si>
    <t>G3</t>
  </si>
  <si>
    <t>触れ合いたい</t>
  </si>
  <si>
    <t>…えっと。マッチしたって出てるけど、合ってる？</t>
  </si>
  <si>
    <t>この先どうなりたい？</t>
  </si>
  <si>
    <t>W1</t>
  </si>
  <si>
    <t>C02</t>
  </si>
  <si>
    <t>弱音</t>
  </si>
  <si>
    <t>–</t>
  </si>
  <si>
    <t>アリーシア</t>
  </si>
  <si>
    <t>（軸カード）</t>
  </si>
  <si>
    <t>メデューサ</t>
  </si>
  <si>
    <t>（相手から切り出す）</t>
  </si>
  <si>
    <t>—</t>
  </si>
  <si>
    <t>W2</t>
  </si>
  <si>
    <t>（核心カード）</t>
  </si>
  <si>
    <t>（相手から切り出す・核心）</t>
  </si>
  <si>
    <r>
      <rPr>
        <rFont val="Noto Sans CJK SC"/>
        <b/>
        <color rgb="FFFFFFFF"/>
        <sz val="10.0"/>
      </rPr>
      <t>会話</t>
    </r>
    <r>
      <rPr>
        <rFont val="Meiryo"/>
        <b/>
        <color rgb="FFFFFFFF"/>
        <sz val="10.0"/>
      </rPr>
      <t>ID</t>
    </r>
  </si>
  <si>
    <r>
      <rPr>
        <rFont val="Noto Sans CJK SC"/>
        <b/>
        <color rgb="FFFFFFFF"/>
        <sz val="10.0"/>
      </rPr>
      <t>キャラ</t>
    </r>
    <r>
      <rPr>
        <rFont val="Meiryo"/>
        <b/>
        <color rgb="FFFFFFFF"/>
        <sz val="10.0"/>
      </rPr>
      <t>ID</t>
    </r>
  </si>
  <si>
    <t>キャラ名</t>
  </si>
  <si>
    <t>◆ 軸（参照）</t>
  </si>
  <si>
    <t>ギリシャの神として威厳を見せなければ</t>
  </si>
  <si>
    <r>
      <rPr>
        <rFont val="Noto Sans CJK SC"/>
        <b/>
        <color rgb="FFFFFFFF"/>
        <sz val="10.0"/>
      </rPr>
      <t>トピック</t>
    </r>
    <r>
      <rPr>
        <rFont val="Meiryo"/>
        <b/>
        <color rgb="FFFFFFFF"/>
        <sz val="10.0"/>
      </rPr>
      <t>ID</t>
    </r>
  </si>
  <si>
    <t>誰かに自分を見てほしい。</t>
  </si>
  <si>
    <t>恥ずかしがりやで目を合わせられません。</t>
  </si>
  <si>
    <t>質問枠</t>
  </si>
  <si>
    <t>導入セリフ</t>
  </si>
  <si>
    <t>我が名はアリーシア。願わくば、汝との縁に神々の祝福のあらんことを。</t>
  </si>
  <si>
    <t>誰とも目を合わせられない</t>
  </si>
  <si>
    <t>相槌への反応（軸の断片）</t>
  </si>
  <si>
    <t>深堀・真（軸に沿う語群）</t>
  </si>
  <si>
    <t>鏡越しでデートする</t>
  </si>
  <si>
    <t>深堀・偽（軸に反する語群）</t>
  </si>
  <si>
    <t>チェック</t>
  </si>
  <si>
    <t>C03</t>
  </si>
  <si>
    <t>ミカ</t>
  </si>
  <si>
    <t>天使</t>
  </si>
  <si>
    <t>人間なんかとは恋にならない</t>
  </si>
  <si>
    <t>人間と恋をしたい</t>
  </si>
  <si>
    <t>天使は人とは恋に落ちたらダメなのに人フェチ</t>
  </si>
  <si>
    <t>天使同士なら大丈夫だから主人公が死んで天使になる</t>
  </si>
  <si>
    <t>C04</t>
  </si>
  <si>
    <t>さきこ</t>
  </si>
  <si>
    <t>口裂け女</t>
  </si>
  <si>
    <t>モブ</t>
  </si>
  <si>
    <r>
      <rPr>
        <rFont val="Noto Sans CJK SC"/>
        <b/>
        <color rgb="FFFFFFFF"/>
        <sz val="10.0"/>
      </rPr>
      <t>キャラ</t>
    </r>
    <r>
      <rPr>
        <rFont val="Meiryo"/>
        <b/>
        <color rgb="FFFFFFFF"/>
        <sz val="10.0"/>
      </rPr>
      <t>ID</t>
    </r>
  </si>
  <si>
    <t>上手く笑えない</t>
  </si>
  <si>
    <t>くそおもろいこと言って、爆笑させる</t>
  </si>
  <si>
    <t>文型（全キャラ共通・編集不要）</t>
  </si>
  <si>
    <t>C05</t>
  </si>
  <si>
    <r>
      <rPr>
        <rFont val="Noto Sans CJK SC"/>
        <b/>
        <color rgb="FFFFFFFF"/>
        <sz val="10.0"/>
      </rPr>
      <t>成功テキスト（真</t>
    </r>
    <r>
      <rPr>
        <rFont val="Meiryo"/>
        <b/>
        <color rgb="FFFFFFFF"/>
        <sz val="10.0"/>
      </rPr>
      <t>3</t>
    </r>
    <r>
      <rPr>
        <rFont val="Noto Sans CJK SC"/>
        <b/>
        <color rgb="FFFFFFFF"/>
        <sz val="10.0"/>
      </rPr>
      <t>枚）</t>
    </r>
  </si>
  <si>
    <t>シャノン</t>
  </si>
  <si>
    <t>失敗テキスト（偽が混ざる）</t>
  </si>
  <si>
    <t>猫の獣人</t>
  </si>
  <si>
    <t>完全成功テキスト（核心カード所持）</t>
  </si>
  <si>
    <t>C06</t>
  </si>
  <si>
    <t>アダム</t>
  </si>
  <si>
    <t>サンタさん</t>
  </si>
  <si>
    <t>プレゼントをもらったことがない</t>
  </si>
  <si>
    <t>プレゼントを贈る側でなく、もらう側に</t>
  </si>
  <si>
    <t>C07</t>
  </si>
  <si>
    <t>ロボ娘</t>
  </si>
  <si>
    <t>C08</t>
  </si>
  <si>
    <t>九尾</t>
  </si>
  <si>
    <t>用途</t>
  </si>
  <si>
    <t>テキスト</t>
  </si>
  <si>
    <t>備考</t>
  </si>
  <si>
    <t>世間話への反応（繋ぎ）</t>
  </si>
  <si>
    <t>…ああ、うん。</t>
  </si>
  <si>
    <t>トピックごとに書かなくてよい。ランダムに使い回す</t>
  </si>
  <si>
    <t>C09</t>
  </si>
  <si>
    <t>そっか。……そういえばさ。</t>
  </si>
  <si>
    <t>吸血鬼</t>
  </si>
  <si>
    <t>うん。まあ、ええけど。</t>
  </si>
  <si>
    <t>弱音ジャンル解放時</t>
  </si>
  <si>
    <t>（相手が、少し黙ってから話し始める）</t>
  </si>
  <si>
    <r>
      <rPr>
        <rFont val="Noto Sans CJK SC"/>
        <color theme="1"/>
        <sz val="10.0"/>
      </rPr>
      <t>本音度</t>
    </r>
    <r>
      <rPr>
        <rFont val="Meiryo"/>
        <color theme="1"/>
        <sz val="10.0"/>
      </rPr>
      <t>70</t>
    </r>
    <r>
      <rPr>
        <rFont val="Noto Sans CJK SC"/>
        <color theme="1"/>
        <sz val="10.0"/>
      </rPr>
      <t>以上で世間話を選んだとき</t>
    </r>
  </si>
  <si>
    <t>トピック切れ・会話終了</t>
  </si>
  <si>
    <t>「……あ、もうこんな時間や。」</t>
  </si>
  <si>
    <t>トピックが尽きたときの締め</t>
  </si>
  <si>
    <t>デート不成立</t>
  </si>
  <si>
    <t>「ごめん。まだ、そこまでは分からへん」</t>
  </si>
  <si>
    <t>スロットが埋まらなかったとき</t>
  </si>
  <si>
    <t>C10</t>
  </si>
  <si>
    <t>｛場所｝に行って、｛行動｝。｛目的｝。</t>
  </si>
  <si>
    <t>「…なんで分かったん。まあ、ええけど。行こか。」</t>
  </si>
  <si>
    <t>ヤマタノオロチ</t>
  </si>
  <si>
    <t>「……うん、ええよ」→ 当日。人混みのなかで、メルは一度も顔を上げなかった。</t>
  </si>
  <si>
    <t>待ち合わせ場所で、メルが初めて笑う。「…見つけてくれて、ありがとう。」</t>
  </si>
  <si>
    <r>
      <rPr>
        <rFont val="Noto Sans CJK SC"/>
        <b/>
        <color rgb="FFFFFFFF"/>
        <sz val="10.0"/>
      </rPr>
      <t>キャラ</t>
    </r>
    <r>
      <rPr>
        <rFont val="Meiryo"/>
        <b/>
        <color rgb="FFFFFFFF"/>
        <sz val="10.0"/>
      </rPr>
      <t>ID</t>
    </r>
  </si>
  <si>
    <t>軸を決めたか</t>
  </si>
  <si>
    <t>必要トピック数</t>
  </si>
  <si>
    <r>
      <rPr>
        <rFont val="Noto Sans CJK SC"/>
        <b/>
        <color rgb="FFFFFFFF"/>
        <sz val="10.0"/>
      </rPr>
      <t>完了</t>
    </r>
    <r>
      <rPr>
        <rFont val="Meiryo"/>
        <b/>
        <color rgb="FFFFFFFF"/>
        <sz val="10.0"/>
      </rPr>
      <t>(OK)</t>
    </r>
    <r>
      <rPr>
        <rFont val="Noto Sans CJK SC"/>
        <b/>
        <color rgb="FFFFFFFF"/>
        <sz val="10.0"/>
      </rPr>
      <t>数</t>
    </r>
  </si>
  <si>
    <t>達成率</t>
  </si>
  <si>
    <t>合計</t>
  </si>
  <si>
    <t>最近行った場所、とな。</t>
  </si>
  <si>
    <t>久しぶりに姉に会ったら、驚いて固まっておったな。</t>
  </si>
  <si>
    <r>
      <rPr>
        <rFont val="Meiryo"/>
        <color rgb="FF93C47D"/>
        <sz val="10.0"/>
      </rPr>
      <t>手鏡屋</t>
    </r>
    <r>
      <rPr>
        <rFont val="Meiryo"/>
        <color rgb="FF0000FF"/>
        <sz val="10.0"/>
      </rPr>
      <t>に行った。美しいものは見ていて楽しかった。</t>
    </r>
  </si>
  <si>
    <r>
      <rPr>
        <rFont val="Meiryo"/>
        <color rgb="FFFF0000"/>
        <sz val="10.0"/>
      </rPr>
      <t>美容室</t>
    </r>
    <r>
      <rPr>
        <rFont val="Meiryo"/>
        <color rgb="FF0000FF"/>
        <sz val="10.0"/>
      </rPr>
      <t>とやらに行ったが、職人が目を閉じて切りおって今はボブのようなボサボサだ。</t>
    </r>
  </si>
  <si>
    <t>うむ、行ってみたい場所か。</t>
  </si>
  <si>
    <t>人間の多い場所は好きではないな。視線をかんじるゆえに。</t>
  </si>
  <si>
    <r>
      <rPr>
        <rFont val="Meiryo"/>
        <color rgb="FF0000FF"/>
        <sz val="10.0"/>
      </rPr>
      <t>最近人間どもの間で流行っている伊達メガネというものが気になる。</t>
    </r>
    <r>
      <rPr>
        <rFont val="Meiryo"/>
        <color rgb="FF6AA84F"/>
        <sz val="10.0"/>
      </rPr>
      <t>眼鏡屋</t>
    </r>
    <r>
      <rPr>
        <rFont val="Meiryo"/>
        <color rgb="FF0000FF"/>
        <sz val="10.0"/>
      </rPr>
      <t>にいけばオーダーメイドできるのだろうか。</t>
    </r>
  </si>
  <si>
    <r>
      <rPr>
        <rFont val="Meiryo"/>
        <color rgb="FFFF0000"/>
        <sz val="10.0"/>
      </rPr>
      <t>祭り</t>
    </r>
    <r>
      <rPr>
        <rFont val="Meiryo"/>
        <color rgb="FF0000FF"/>
        <sz val="10.0"/>
      </rPr>
      <t>は悪い気がせんな。祀られているのが我でなくても、力がみなぎるようだ。</t>
    </r>
  </si>
  <si>
    <t>正直出身地にいい思い出はないな。</t>
  </si>
  <si>
    <t>話せば長くなる。汝も痴情のもつれ話を聞きたいわけではなかろう。</t>
  </si>
  <si>
    <r>
      <rPr>
        <rFont val="Meiryo"/>
        <color rgb="FF0000FF"/>
        <sz val="10.0"/>
      </rPr>
      <t>海のきれいな場所は好きだな。涙を流しても</t>
    </r>
    <r>
      <rPr>
        <rFont val="Meiryo"/>
        <color rgb="FF6AA84F"/>
        <sz val="10.0"/>
      </rPr>
      <t>海の中</t>
    </r>
    <r>
      <rPr>
        <rFont val="Meiryo"/>
        <color rgb="FF0000FF"/>
        <sz val="10.0"/>
      </rPr>
      <t>ならばれないだろう？</t>
    </r>
  </si>
  <si>
    <r>
      <rPr>
        <rFont val="Meiryo"/>
        <color rgb="FF0000FF"/>
        <sz val="10.0"/>
      </rPr>
      <t>ペルセウスに討たれてから</t>
    </r>
    <r>
      <rPr>
        <rFont val="Meiryo"/>
        <color rgb="FFFF0000"/>
        <sz val="10.0"/>
      </rPr>
      <t>西の果ての海</t>
    </r>
    <r>
      <rPr>
        <rFont val="Meiryo"/>
        <color rgb="FF0000FF"/>
        <sz val="10.0"/>
      </rPr>
      <t>に戻ったことはない。</t>
    </r>
  </si>
  <si>
    <t>人間じみた質問だな。</t>
  </si>
  <si>
    <t>特に何をするでもない、静かに過ごすのを好む。</t>
  </si>
  <si>
    <r>
      <rPr>
        <rFont val="Meiryo"/>
        <color rgb="FF0000FF"/>
        <sz val="10.0"/>
      </rPr>
      <t>人間に紛れて</t>
    </r>
    <r>
      <rPr>
        <rFont val="Meiryo"/>
        <color rgb="FF6AA84F"/>
        <sz val="10.0"/>
      </rPr>
      <t>映画を見に行く</t>
    </r>
    <r>
      <rPr>
        <rFont val="Meiryo"/>
        <color rgb="FF0000FF"/>
        <sz val="10.0"/>
      </rPr>
      <t>ことがある。余は悪しきものとして描かれることが多いがな笑</t>
    </r>
  </si>
  <si>
    <r>
      <rPr>
        <rFont val="Meiryo"/>
        <color rgb="FF0000FF"/>
        <sz val="10.0"/>
      </rPr>
      <t>ギリシアの神々は</t>
    </r>
    <r>
      <rPr>
        <rFont val="Meiryo"/>
        <color rgb="FFFF0000"/>
        <sz val="10.0"/>
      </rPr>
      <t>休まない</t>
    </r>
    <r>
      <rPr>
        <rFont val="Meiryo"/>
        <color rgb="FF0000FF"/>
        <sz val="10.0"/>
      </rPr>
      <t>。まあ私は故郷を離れたが。</t>
    </r>
  </si>
  <si>
    <t>最近か……</t>
  </si>
  <si>
    <t>300年ほど前に港で食べた寿司はうまかった。</t>
  </si>
  <si>
    <r>
      <rPr>
        <rFont val="Meiryo"/>
        <color rgb="FF93C47D"/>
        <sz val="10.0"/>
      </rPr>
      <t>蒸気アイマスクをつけて寝る</t>
    </r>
    <r>
      <rPr>
        <rFont val="Meiryo"/>
        <color rgb="FF0000FF"/>
        <sz val="10.0"/>
      </rPr>
      <t>ことが最近のマイブームだ。</t>
    </r>
  </si>
  <si>
    <r>
      <rPr>
        <rFont val="Meiryo"/>
        <color rgb="FFFF0000"/>
        <sz val="10.0"/>
      </rPr>
      <t>石像を彫る</t>
    </r>
    <r>
      <rPr>
        <rFont val="Meiryo"/>
        <color rgb="FF0000FF"/>
        <sz val="10.0"/>
      </rPr>
      <t>真似事をしておる。……皮肉なものだがな。</t>
    </r>
  </si>
  <si>
    <t>ひとりの時間、と汝は聞くか。</t>
  </si>
  <si>
    <t>誰の視界にも入らぬ時間というのは、案外、悪くないものだ。</t>
  </si>
  <si>
    <r>
      <rPr>
        <rFont val="Meiryo"/>
        <color rgb="FF0000FF"/>
        <sz val="10.0"/>
      </rPr>
      <t>眠る前に</t>
    </r>
    <r>
      <rPr>
        <rFont val="Meiryo"/>
        <color rgb="FF6AA84F"/>
        <sz val="10.0"/>
      </rPr>
      <t>星を見る</t>
    </r>
    <r>
      <rPr>
        <rFont val="Meiryo"/>
        <color rgb="FF0000FF"/>
        <sz val="10.0"/>
      </rPr>
      <t>のが好きでな。星々は目を合わしても石になることはない。</t>
    </r>
  </si>
  <si>
    <r>
      <rPr>
        <rFont val="Meiryo"/>
        <color rgb="FF0000FF"/>
        <sz val="10.0"/>
      </rPr>
      <t>私はこの目の力から、常に一人だった。いまさら</t>
    </r>
    <r>
      <rPr>
        <rFont val="Meiryo"/>
        <color rgb="FFFF0000"/>
        <sz val="10.0"/>
      </rPr>
      <t>一人で過ごす</t>
    </r>
    <r>
      <rPr>
        <rFont val="Meiryo"/>
        <color rgb="FF0000FF"/>
        <sz val="10.0"/>
      </rPr>
      <t>ことは別に寂しくなどない。慣れている。</t>
    </r>
  </si>
  <si>
    <t>なぜこの機だったか、と?</t>
  </si>
  <si>
    <t>姉に勧められて、な。断る理由もなかっただけだ。</t>
  </si>
  <si>
    <r>
      <rPr>
        <rFont val="Meiryo"/>
        <color rgb="FF0000FF"/>
        <sz val="10.0"/>
      </rPr>
      <t>画面越しに目を合わせずに人と話せる機会というのが物珍しくてな。それだけでも充分</t>
    </r>
    <r>
      <rPr>
        <rFont val="Meiryo"/>
        <color rgb="FF6AA84F"/>
        <sz val="10.0"/>
      </rPr>
      <t>楽しむ</t>
    </r>
    <r>
      <rPr>
        <rFont val="Meiryo"/>
        <color rgb="FF0000FF"/>
        <sz val="10.0"/>
      </rPr>
      <t>ことができた。</t>
    </r>
  </si>
  <si>
    <r>
      <rPr>
        <rFont val="Meiryo"/>
        <color rgb="FF0000FF"/>
        <sz val="10.0"/>
      </rPr>
      <t>ただの</t>
    </r>
    <r>
      <rPr>
        <rFont val="Meiryo"/>
        <color rgb="FFFF0000"/>
        <sz val="10.0"/>
      </rPr>
      <t>暇つぶし</t>
    </r>
    <r>
      <rPr>
        <rFont val="Meiryo"/>
        <color rgb="FF0000FF"/>
        <sz val="10.0"/>
      </rPr>
      <t>よ。一人何もせずに生きていると気が狂う。</t>
    </r>
  </si>
  <si>
    <t>好みの者、か。</t>
  </si>
  <si>
    <t>見た目で判ずる者ではないと、そう信じたいがな。</t>
  </si>
  <si>
    <r>
      <rPr>
        <rFont val="Meiryo"/>
        <color rgb="FF0000FF"/>
        <sz val="10.0"/>
      </rPr>
      <t>どんなことが起きても目を逸らさずに、</t>
    </r>
    <r>
      <rPr>
        <rFont val="Meiryo"/>
        <color rgb="FF6AA84F"/>
        <sz val="10.0"/>
      </rPr>
      <t>まっすぐこちらを見る</t>
    </r>
    <r>
      <rPr>
        <rFont val="Meiryo"/>
        <color rgb="FF0000FF"/>
        <sz val="10.0"/>
      </rPr>
      <t>ことのできる者がよい。騙したり裏切ったりするのは疲れる。</t>
    </r>
  </si>
  <si>
    <t>面食いというわけではない。中身が伴っておれば、それでよい。</t>
  </si>
  <si>
    <t>この先、と汝は問うか。</t>
  </si>
  <si>
    <t>深く考えたことは、これまでなかったがな。</t>
  </si>
  <si>
    <r>
      <rPr>
        <rFont val="Meiryo"/>
        <color rgb="FF0000FF"/>
        <sz val="10.0"/>
      </rPr>
      <t>誰かと目を合わせて</t>
    </r>
    <r>
      <rPr>
        <rFont val="Meiryo"/>
        <color rgb="FF6AA84F"/>
        <sz val="10.0"/>
      </rPr>
      <t>笑いあいたい</t>
    </r>
    <r>
      <rPr>
        <rFont val="Meiryo"/>
        <color rgb="FF0000FF"/>
        <sz val="10.0"/>
      </rPr>
      <t>なと思う。</t>
    </r>
  </si>
  <si>
    <r>
      <rPr>
        <rFont val="Meiryo"/>
        <color rgb="FF0000FF"/>
        <sz val="10.0"/>
      </rPr>
      <t>今のまま</t>
    </r>
    <r>
      <rPr>
        <rFont val="Meiryo"/>
        <color rgb="FFFF0000"/>
        <sz val="10.0"/>
      </rPr>
      <t>穏やかに暮らしたい</t>
    </r>
    <r>
      <rPr>
        <rFont val="Meiryo"/>
        <color rgb="FF0000FF"/>
        <sz val="10.0"/>
      </rPr>
      <t>。今更、変わりようもないしな。</t>
    </r>
  </si>
  <si>
    <t>生き物の目は美しい。見たり、見られたり、それだけでも多くの幸せがあるのに、我はそれを禁じられている。</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</si>
</sst>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0.0"/>
      <color rgb="FFFFFFFF"/>
      <name val="Noto Sans"/>
    </font>
    <font>
      <b/>
      <sz val="14.0"/>
      <color rgb="FF000000"/>
      <name val="Noto Sans"/>
    </font>
    <font>
      <sz val="11.0"/>
      <color rgb="FF000000"/>
      <name val="Meiryo"/>
    </font>
    <font>
      <b/>
      <sz val="11.0"/>
      <color rgb="FF000000"/>
      <name val="Noto Sans"/>
    </font>
    <font>
      <sz val="10.0"/>
      <color theme="1"/>
      <name val="Noto Sans"/>
    </font>
    <font>
      <sz val="11.0"/>
      <color rgb="FF000000"/>
      <name val="Noto Sans"/>
    </font>
    <font>
      <sz val="10.0"/>
      <color rgb="FF0000FF"/>
      <name val="Meiryo"/>
    </font>
    <font>
      <sz val="10.0"/>
      <color theme="1"/>
      <name val="Meiryo"/>
    </font>
    <font>
      <sz val="11.0"/>
      <color rgb="FFC0392B"/>
      <name val="Noto Sans"/>
    </font>
    <font>
      <sz val="10.0"/>
      <color rgb="FF0000FF"/>
      <name val="Noto Sans"/>
    </font>
    <font>
      <color theme="1"/>
      <name val="Calibri"/>
    </font>
    <font>
      <color theme="1"/>
      <name val="Calibri"/>
      <scheme val="minor"/>
    </font>
    <font>
      <b/>
      <strike/>
      <sz val="11.0"/>
      <color rgb="FF000000"/>
      <name val="Noto Sans"/>
    </font>
    <font>
      <strike/>
      <sz val="11.0"/>
      <color rgb="FF000000"/>
      <name val="Noto Sans"/>
    </font>
    <font>
      <b/>
      <sz val="10.0"/>
      <color theme="1"/>
      <name val="Meiryo"/>
    </font>
    <font>
      <strike/>
      <sz val="10.0"/>
      <color theme="1"/>
      <name val="Meiryo"/>
    </font>
    <font>
      <strike/>
      <sz val="10.0"/>
      <color theme="1"/>
      <name val="Noto Sans"/>
    </font>
    <font>
      <strike/>
      <sz val="10.0"/>
      <color rgb="FF0000FF"/>
      <name val="Noto Sans"/>
    </font>
    <font>
      <b/>
      <sz val="10.0"/>
      <color rgb="FFFFFFFF"/>
      <name val="Arial"/>
    </font>
    <font>
      <sz val="11.0"/>
      <color theme="1"/>
      <name val="Calibri"/>
    </font>
    <font>
      <b/>
      <sz val="10.0"/>
      <color theme="1"/>
      <name val="Noto Sans"/>
    </font>
    <font>
      <b/>
      <strike/>
      <sz val="10.0"/>
      <color theme="1"/>
      <name val="Meiryo"/>
    </font>
    <font>
      <sz val="10.0"/>
      <color rgb="FF93C47D"/>
      <name val="Meiryo"/>
    </font>
    <font>
      <strike/>
      <sz val="10.0"/>
      <color rgb="FF0000FF"/>
      <name val="Meiryo"/>
    </font>
  </fonts>
  <fills count="11">
    <fill>
      <patternFill patternType="none"/>
    </fill>
    <fill>
      <patternFill patternType="lightGray"/>
    </fill>
    <fill>
      <patternFill patternType="solid">
        <fgColor rgb="FF2F3B52"/>
        <bgColor rgb="FF2F3B52"/>
      </patternFill>
    </fill>
    <fill>
      <patternFill patternType="solid">
        <fgColor rgb="FFFFF9D6"/>
        <bgColor rgb="FFFFF9D6"/>
      </patternFill>
    </fill>
    <fill>
      <patternFill patternType="solid">
        <fgColor rgb="FFE4F5E9"/>
        <bgColor rgb="FFE4F5E9"/>
      </patternFill>
    </fill>
    <fill>
      <patternFill patternType="solid">
        <fgColor rgb="FFFDF2D9"/>
        <bgColor rgb="FFFDF2D9"/>
      </patternFill>
    </fill>
    <fill>
      <patternFill patternType="solid">
        <fgColor rgb="FFEFEFEF"/>
        <bgColor rgb="FFEFEFEF"/>
      </patternFill>
    </fill>
    <fill>
      <patternFill patternType="solid">
        <fgColor rgb="FFE3F1E6"/>
        <bgColor rgb="FFE3F1E6"/>
      </patternFill>
    </fill>
    <fill>
      <patternFill patternType="solid">
        <fgColor rgb="FFFADEDC"/>
        <bgColor rgb="FFFADEDC"/>
      </patternFill>
    </fill>
    <fill>
      <patternFill patternType="solid">
        <fgColor rgb="FFFBE3E0"/>
        <bgColor rgb="FFFBE3E0"/>
      </patternFill>
    </fill>
    <fill>
      <patternFill patternType="solid">
        <fgColor rgb="FFD9E2EC"/>
        <bgColor rgb="FFD9E2EC"/>
      </patternFill>
    </fill>
  </fills>
  <borders count="3">
    <border/>
    <border>
      <left/>
      <right/>
      <top/>
      <bottom/>
    </border>
    <border>
      <left style="thin">
        <color rgb="FFC8C8C8"/>
      </left>
      <right style="thin">
        <color rgb="FFC8C8C8"/>
      </right>
      <top style="thin">
        <color rgb="FFC8C8C8"/>
      </top>
      <bottom style="thin">
        <color rgb="FFC8C8C8"/>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2" fillId="0" fontId="5" numFmtId="0" xfId="0" applyAlignment="1" applyBorder="1" applyFont="1">
      <alignment shrinkToFit="0" vertical="center" wrapText="0"/>
    </xf>
    <xf borderId="0" fillId="0" fontId="6" numFmtId="0" xfId="0" applyAlignment="1" applyFont="1">
      <alignment shrinkToFit="0" vertical="bottom" wrapText="0"/>
    </xf>
    <xf borderId="2" fillId="3" fontId="7" numFmtId="0" xfId="0" applyAlignment="1" applyBorder="1" applyFill="1" applyFont="1">
      <alignment shrinkToFit="0" vertical="center" wrapText="0"/>
    </xf>
    <xf borderId="2" fillId="0" fontId="8" numFmtId="0" xfId="0" applyAlignment="1" applyBorder="1" applyFont="1">
      <alignment shrinkToFit="0" vertical="center" wrapText="0"/>
    </xf>
    <xf borderId="2" fillId="0" fontId="5" numFmtId="0" xfId="0" applyAlignment="1" applyBorder="1" applyFont="1">
      <alignment shrinkToFit="0" vertical="center" wrapText="1"/>
    </xf>
    <xf borderId="2" fillId="4" fontId="8" numFmtId="0" xfId="0" applyAlignment="1" applyBorder="1" applyFill="1" applyFont="1">
      <alignment shrinkToFit="0" vertical="center" wrapText="0"/>
    </xf>
    <xf borderId="2" fillId="4" fontId="5" numFmtId="0" xfId="0" applyAlignment="1" applyBorder="1" applyFill="1" applyFont="1">
      <alignment shrinkToFit="0" vertical="center" wrapText="0"/>
    </xf>
    <xf borderId="0" fillId="0" fontId="9" numFmtId="0" xfId="0" applyAlignment="1" applyFont="1">
      <alignment shrinkToFit="0" vertical="bottom" wrapText="0"/>
    </xf>
    <xf borderId="2" fillId="3" fontId="10" numFmtId="0" xfId="0" applyAlignment="1" applyBorder="1" applyFill="1" applyFont="1">
      <alignment shrinkToFit="0" vertical="center" wrapText="1"/>
    </xf>
    <xf borderId="0" fillId="0" fontId="11" numFmtId="0" xfId="0" applyAlignment="1" applyFont="1">
      <alignment horizontal="center" readingOrder="0"/>
    </xf>
    <xf borderId="0" fillId="0" fontId="12" numFmtId="0" xfId="0" applyAlignment="1" applyFont="1">
      <alignment readingOrder="0"/>
    </xf>
    <xf borderId="0" fillId="0" fontId="13" numFmtId="0" xfId="0" applyAlignment="1" applyFont="1">
      <alignment shrinkToFit="0" vertical="bottom" wrapText="0"/>
    </xf>
    <xf borderId="2" fillId="5" fontId="8" numFmtId="0" xfId="0" applyAlignment="1" applyBorder="1" applyFill="1" applyFont="1">
      <alignment shrinkToFit="0" vertical="center" wrapText="0"/>
    </xf>
    <xf borderId="0" fillId="0" fontId="14" numFmtId="0" xfId="0" applyAlignment="1" applyFont="1">
      <alignment shrinkToFit="0" vertical="bottom" wrapText="0"/>
    </xf>
    <xf borderId="2" fillId="6" fontId="15" numFmtId="0" xfId="0" applyAlignment="1" applyBorder="1" applyFill="1" applyFont="1">
      <alignment shrinkToFit="0" vertical="top" wrapText="0"/>
    </xf>
    <xf borderId="2" fillId="5" fontId="5" numFmtId="0" xfId="0" applyAlignment="1" applyBorder="1" applyFill="1" applyFont="1">
      <alignment shrinkToFit="0" vertical="center" wrapText="0"/>
    </xf>
    <xf borderId="2" fillId="7" fontId="10" numFmtId="0" xfId="0" applyAlignment="1" applyBorder="1" applyFill="1" applyFont="1">
      <alignment readingOrder="0" shrinkToFit="0" vertical="top" wrapText="0"/>
    </xf>
    <xf borderId="2" fillId="8" fontId="8" numFmtId="0" xfId="0" applyAlignment="1" applyBorder="1" applyFill="1" applyFont="1">
      <alignment shrinkToFit="0" vertical="center" wrapText="0"/>
    </xf>
    <xf borderId="2" fillId="7" fontId="10" numFmtId="0" xfId="0" applyAlignment="1" applyBorder="1" applyFill="1" applyFont="1">
      <alignment shrinkToFit="0" vertical="top" wrapText="0"/>
    </xf>
    <xf borderId="2" fillId="8" fontId="5" numFmtId="0" xfId="0" applyAlignment="1" applyBorder="1" applyFill="1" applyFont="1">
      <alignment shrinkToFit="0" vertical="center" wrapText="0"/>
    </xf>
    <xf borderId="2" fillId="6" fontId="8" numFmtId="0" xfId="0" applyAlignment="1" applyBorder="1" applyFill="1" applyFont="1">
      <alignment shrinkToFit="0" vertical="top" wrapText="0"/>
    </xf>
    <xf borderId="2" fillId="7" fontId="10" numFmtId="0" xfId="0" applyAlignment="1" applyBorder="1" applyFill="1" applyFont="1">
      <alignment shrinkToFit="0" vertical="top" wrapText="1"/>
    </xf>
    <xf borderId="2" fillId="6" fontId="8" numFmtId="0" xfId="0" applyAlignment="1" applyBorder="1" applyFill="1" applyFont="1">
      <alignment shrinkToFit="0" vertical="center" wrapText="0"/>
    </xf>
    <xf borderId="2" fillId="3" fontId="10" numFmtId="0" xfId="0" applyAlignment="1" applyBorder="1" applyFill="1" applyFont="1">
      <alignment shrinkToFit="0" vertical="top" wrapText="0"/>
    </xf>
    <xf borderId="2" fillId="6" fontId="5" numFmtId="0" xfId="0" applyAlignment="1" applyBorder="1" applyFill="1" applyFont="1">
      <alignment shrinkToFit="0" vertical="center" wrapText="0"/>
    </xf>
    <xf borderId="2" fillId="0" fontId="16" numFmtId="0" xfId="0" applyAlignment="1" applyBorder="1" applyFont="1">
      <alignment shrinkToFit="0" vertical="center" wrapText="0"/>
    </xf>
    <xf borderId="2" fillId="0" fontId="17" numFmtId="0" xfId="0" applyAlignment="1" applyBorder="1" applyFont="1">
      <alignment shrinkToFit="0" vertical="center" wrapText="0"/>
    </xf>
    <xf borderId="2" fillId="6" fontId="16" numFmtId="0" xfId="0" applyAlignment="1" applyBorder="1" applyFill="1" applyFont="1">
      <alignment shrinkToFit="0" vertical="center" wrapText="0"/>
    </xf>
    <xf borderId="2" fillId="6" fontId="17" numFmtId="0" xfId="0" applyAlignment="1" applyBorder="1" applyFill="1" applyFont="1">
      <alignment shrinkToFit="0" vertical="center" wrapText="0"/>
    </xf>
    <xf borderId="2" fillId="3" fontId="18" numFmtId="0" xfId="0" applyAlignment="1" applyBorder="1" applyFill="1" applyFont="1">
      <alignment shrinkToFit="0" vertical="center" wrapText="1"/>
    </xf>
    <xf borderId="2" fillId="9" fontId="7" numFmtId="0" xfId="0" applyAlignment="1" applyBorder="1" applyFill="1" applyFont="1">
      <alignment shrinkToFit="0" vertical="top" wrapText="1"/>
    </xf>
    <xf borderId="2" fillId="3" fontId="7" numFmtId="0" xfId="0" applyAlignment="1" applyBorder="1" applyFill="1" applyFont="1">
      <alignment shrinkToFit="0" vertical="top" wrapText="1"/>
    </xf>
    <xf borderId="1" fillId="2" fontId="19" numFmtId="0" xfId="0" applyAlignment="1" applyBorder="1" applyFill="1" applyFont="1">
      <alignment horizontal="center" shrinkToFit="0" vertical="center" wrapText="1"/>
    </xf>
    <xf borderId="0" fillId="0" fontId="11" numFmtId="0" xfId="0" applyAlignment="1" applyFont="1">
      <alignment readingOrder="0"/>
    </xf>
    <xf borderId="2" fillId="9" fontId="7" numFmtId="0" xfId="0" applyAlignment="1" applyBorder="1" applyFill="1" applyFont="1">
      <alignment readingOrder="0" shrinkToFit="0" vertical="top" wrapText="1"/>
    </xf>
    <xf borderId="2" fillId="3" fontId="10" numFmtId="0" xfId="0" applyAlignment="1" applyBorder="1" applyFill="1" applyFont="1">
      <alignment readingOrder="0" shrinkToFit="0" vertical="top" wrapText="0"/>
    </xf>
    <xf borderId="2" fillId="9" fontId="5" numFmtId="0" xfId="0" applyAlignment="1" applyBorder="1" applyFill="1" applyFont="1">
      <alignment shrinkToFit="0" vertical="top" wrapText="1"/>
    </xf>
    <xf borderId="2" fillId="0" fontId="5" numFmtId="0" xfId="0" applyAlignment="1" applyBorder="1" applyFont="1">
      <alignment shrinkToFit="0" vertical="top" wrapText="1"/>
    </xf>
    <xf borderId="2" fillId="3" fontId="10" numFmtId="0" xfId="0" applyAlignment="1" applyBorder="1" applyFill="1" applyFont="1">
      <alignment shrinkToFit="0" vertical="top" wrapText="1"/>
    </xf>
    <xf borderId="2" fillId="6" fontId="5" numFmtId="0" xfId="0" applyAlignment="1" applyBorder="1" applyFill="1" applyFont="1">
      <alignment shrinkToFit="0" vertical="top" wrapText="1"/>
    </xf>
    <xf borderId="2" fillId="4" fontId="15" numFmtId="0" xfId="0" applyAlignment="1" applyBorder="1" applyFill="1" applyFont="1">
      <alignment shrinkToFit="0" vertical="top" wrapText="0"/>
    </xf>
    <xf borderId="2" fillId="6" fontId="15" numFmtId="0" xfId="0" applyAlignment="1" applyBorder="1" applyFill="1" applyFont="1">
      <alignment shrinkToFit="0" vertical="bottom" wrapText="0"/>
    </xf>
    <xf borderId="2" fillId="6" fontId="5" numFmtId="0" xfId="0" applyAlignment="1" applyBorder="1" applyFill="1" applyFont="1">
      <alignment shrinkToFit="0" vertical="bottom" wrapText="0"/>
    </xf>
    <xf borderId="2" fillId="6" fontId="8" numFmtId="9" xfId="0" applyAlignment="1" applyBorder="1" applyFill="1" applyFont="1" applyNumberFormat="1">
      <alignment shrinkToFit="0" vertical="bottom" wrapText="0"/>
    </xf>
    <xf borderId="2" fillId="5" fontId="15" numFmtId="0" xfId="0" applyAlignment="1" applyBorder="1" applyFill="1" applyFont="1">
      <alignment shrinkToFit="0" vertical="top" wrapText="0"/>
    </xf>
    <xf borderId="2" fillId="8" fontId="15" numFmtId="0" xfId="0" applyAlignment="1" applyBorder="1" applyFill="1" applyFont="1">
      <alignment shrinkToFit="0" vertical="top" wrapText="0"/>
    </xf>
    <xf borderId="2" fillId="10" fontId="20" numFmtId="0" xfId="0" applyAlignment="1" applyBorder="1" applyFill="1" applyFont="1">
      <alignment shrinkToFit="0" vertical="bottom" wrapText="0"/>
    </xf>
    <xf borderId="2" fillId="10" fontId="21" numFmtId="0" xfId="0" applyAlignment="1" applyBorder="1" applyFill="1" applyFont="1">
      <alignment shrinkToFit="0" vertical="bottom" wrapText="0"/>
    </xf>
    <xf borderId="2" fillId="10" fontId="15" numFmtId="9" xfId="0" applyAlignment="1" applyBorder="1" applyFill="1" applyFont="1" applyNumberFormat="1">
      <alignment shrinkToFit="0" vertical="bottom" wrapText="0"/>
    </xf>
    <xf borderId="2" fillId="6" fontId="16" numFmtId="0" xfId="0" applyAlignment="1" applyBorder="1" applyFill="1" applyFont="1">
      <alignment shrinkToFit="0" vertical="top" wrapText="0"/>
    </xf>
    <xf borderId="2" fillId="6" fontId="22" numFmtId="0" xfId="0" applyAlignment="1" applyBorder="1" applyFill="1" applyFont="1">
      <alignment shrinkToFit="0" vertical="top" wrapText="0"/>
    </xf>
    <xf borderId="2" fillId="9" fontId="17" numFmtId="0" xfId="0" applyAlignment="1" applyBorder="1" applyFill="1" applyFont="1">
      <alignment shrinkToFit="0" vertical="top" wrapText="1"/>
    </xf>
    <xf borderId="2" fillId="6" fontId="17" numFmtId="0" xfId="0" applyAlignment="1" applyBorder="1" applyFill="1" applyFont="1">
      <alignment shrinkToFit="0" vertical="top" wrapText="1"/>
    </xf>
    <xf borderId="2" fillId="7" fontId="18" numFmtId="0" xfId="0" applyAlignment="1" applyBorder="1" applyFill="1" applyFont="1">
      <alignment shrinkToFit="0" vertical="top" wrapText="1"/>
    </xf>
    <xf borderId="2" fillId="3" fontId="23" numFmtId="0" xfId="0" applyAlignment="1" applyBorder="1" applyFill="1" applyFont="1">
      <alignment shrinkToFit="0" vertical="top" wrapText="1"/>
    </xf>
    <xf borderId="2" fillId="3" fontId="24"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0"/>
    <col customWidth="1" min="2" max="26" width="8.71"/>
  </cols>
  <sheetData>
    <row r="1">
      <c r="A1" s="2" t="s">
        <v>1</v>
      </c>
    </row>
    <row r="2">
      <c r="A2" s="3"/>
    </row>
    <row r="3">
      <c r="A3" s="4" t="s">
        <v>13</v>
      </c>
    </row>
    <row r="4">
      <c r="A4" s="6" t="s">
        <v>18</v>
      </c>
    </row>
    <row r="5">
      <c r="A5" s="6" t="s">
        <v>20</v>
      </c>
    </row>
    <row r="6">
      <c r="A6" s="6" t="s">
        <v>22</v>
      </c>
    </row>
    <row r="7">
      <c r="A7" s="3"/>
    </row>
    <row r="8">
      <c r="A8" s="4" t="s">
        <v>25</v>
      </c>
    </row>
    <row r="9">
      <c r="A9" s="6" t="s">
        <v>28</v>
      </c>
    </row>
    <row r="10">
      <c r="A10" s="6" t="s">
        <v>30</v>
      </c>
    </row>
    <row r="11">
      <c r="A11" s="6" t="s">
        <v>33</v>
      </c>
    </row>
    <row r="12">
      <c r="A12" s="6" t="s">
        <v>37</v>
      </c>
    </row>
    <row r="13">
      <c r="A13" s="12" t="s">
        <v>40</v>
      </c>
    </row>
    <row r="14">
      <c r="A14" s="6" t="s">
        <v>44</v>
      </c>
    </row>
    <row r="15">
      <c r="A15" s="3"/>
    </row>
    <row r="16">
      <c r="A16" s="16" t="s">
        <v>50</v>
      </c>
    </row>
    <row r="17">
      <c r="A17" s="18" t="s">
        <v>55</v>
      </c>
    </row>
    <row r="18">
      <c r="A18" s="18" t="s">
        <v>60</v>
      </c>
    </row>
    <row r="19">
      <c r="A19" s="18" t="s">
        <v>63</v>
      </c>
    </row>
    <row r="20">
      <c r="A20" s="18" t="s">
        <v>64</v>
      </c>
    </row>
    <row r="21" ht="15.75" customHeight="1">
      <c r="A21" s="3"/>
    </row>
    <row r="22" ht="15.75" customHeight="1">
      <c r="A22" s="4" t="s">
        <v>68</v>
      </c>
    </row>
    <row r="23" ht="15.75" customHeight="1">
      <c r="A23" s="6" t="s">
        <v>70</v>
      </c>
    </row>
    <row r="24" ht="15.75" customHeight="1">
      <c r="A24" s="6" t="s">
        <v>73</v>
      </c>
    </row>
    <row r="25" ht="15.75" customHeight="1">
      <c r="A25" s="6" t="s">
        <v>76</v>
      </c>
    </row>
    <row r="26" ht="15.75" customHeight="1">
      <c r="A26" s="6" t="s">
        <v>77</v>
      </c>
    </row>
    <row r="27" ht="15.75" customHeight="1">
      <c r="A27" s="6" t="s">
        <v>80</v>
      </c>
    </row>
    <row r="28" ht="15.75" customHeight="1">
      <c r="A28" s="6" t="s">
        <v>81</v>
      </c>
    </row>
    <row r="29" ht="15.75" customHeight="1">
      <c r="A29" s="6" t="s">
        <v>83</v>
      </c>
    </row>
    <row r="30" ht="15.75" customHeight="1">
      <c r="A30" s="3"/>
    </row>
    <row r="31" ht="15.75" customHeight="1">
      <c r="A31" s="4" t="s">
        <v>87</v>
      </c>
    </row>
    <row r="32" ht="15.75" customHeight="1">
      <c r="A32" s="6" t="s">
        <v>88</v>
      </c>
    </row>
    <row r="33" ht="15.75" customHeight="1">
      <c r="A33" s="6" t="s">
        <v>91</v>
      </c>
    </row>
    <row r="34" ht="15.75" customHeight="1">
      <c r="A34" s="6" t="s">
        <v>92</v>
      </c>
    </row>
    <row r="35" ht="15.75" customHeight="1">
      <c r="A35" s="3"/>
    </row>
    <row r="36" ht="15.75" customHeight="1">
      <c r="A36" s="4" t="s">
        <v>94</v>
      </c>
    </row>
    <row r="37" ht="15.75" customHeight="1">
      <c r="A37" s="6" t="s">
        <v>96</v>
      </c>
    </row>
    <row r="38" ht="15.75" customHeight="1">
      <c r="A38" s="6" t="s">
        <v>98</v>
      </c>
    </row>
    <row r="39" ht="15.75" customHeight="1">
      <c r="A39" s="12" t="s">
        <v>99</v>
      </c>
    </row>
    <row r="40" ht="15.75" customHeight="1">
      <c r="A40" s="12" t="s">
        <v>100</v>
      </c>
    </row>
    <row r="41" ht="15.75" customHeight="1">
      <c r="A41" s="3"/>
    </row>
    <row r="42" ht="15.75" customHeight="1">
      <c r="A42" s="4" t="s">
        <v>101</v>
      </c>
    </row>
    <row r="43" ht="15.75" customHeight="1">
      <c r="A43" s="6" t="s">
        <v>102</v>
      </c>
    </row>
    <row r="44" ht="15.75" customHeight="1">
      <c r="A44" s="3"/>
    </row>
    <row r="45" ht="15.75" customHeight="1">
      <c r="A45" s="4" t="s">
        <v>104</v>
      </c>
    </row>
    <row r="46" ht="15.75" customHeight="1">
      <c r="A46" s="6" t="s">
        <v>105</v>
      </c>
    </row>
    <row r="47" ht="15.75" customHeight="1">
      <c r="A47" s="6" t="s">
        <v>106</v>
      </c>
    </row>
    <row r="48" ht="15.75" customHeight="1">
      <c r="A48" s="6" t="s">
        <v>107</v>
      </c>
    </row>
    <row r="49" ht="15.75" customHeight="1">
      <c r="A49" s="3"/>
    </row>
    <row r="50" ht="15.75" customHeight="1">
      <c r="A50" s="6" t="s">
        <v>109</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9.0"/>
    <col customWidth="1" min="3" max="3" width="60.0"/>
    <col customWidth="1" min="4" max="26" width="8.71"/>
  </cols>
  <sheetData>
    <row r="1" ht="33.75" customHeight="1">
      <c r="A1" s="1" t="s">
        <v>0</v>
      </c>
      <c r="B1" s="1" t="s">
        <v>4</v>
      </c>
      <c r="C1" s="1" t="s">
        <v>7</v>
      </c>
    </row>
    <row r="2">
      <c r="A2" s="5" t="s">
        <v>14</v>
      </c>
      <c r="B2" s="7">
        <v>50.0</v>
      </c>
      <c r="C2" s="9" t="s">
        <v>21</v>
      </c>
    </row>
    <row r="3">
      <c r="A3" s="5" t="s">
        <v>26</v>
      </c>
      <c r="B3" s="7">
        <v>20.0</v>
      </c>
      <c r="C3" s="9" t="s">
        <v>29</v>
      </c>
    </row>
    <row r="4">
      <c r="A4" s="5" t="s">
        <v>32</v>
      </c>
      <c r="B4" s="7">
        <v>-15.0</v>
      </c>
      <c r="C4" s="9" t="s">
        <v>36</v>
      </c>
    </row>
    <row r="5">
      <c r="A5" s="5" t="s">
        <v>39</v>
      </c>
      <c r="B5" s="7">
        <v>0.0</v>
      </c>
      <c r="C5" s="9" t="s">
        <v>43</v>
      </c>
    </row>
    <row r="6">
      <c r="A6" s="5" t="s">
        <v>45</v>
      </c>
      <c r="B6" s="7">
        <v>45.0</v>
      </c>
      <c r="C6" s="9" t="s">
        <v>48</v>
      </c>
    </row>
    <row r="7">
      <c r="A7" s="5" t="s">
        <v>52</v>
      </c>
      <c r="B7" s="7">
        <v>60.0</v>
      </c>
      <c r="C7" s="9" t="s">
        <v>53</v>
      </c>
    </row>
    <row r="8">
      <c r="A8" s="5" t="s">
        <v>54</v>
      </c>
      <c r="B8" s="7">
        <v>80.0</v>
      </c>
      <c r="C8" s="9" t="s">
        <v>57</v>
      </c>
    </row>
    <row r="9">
      <c r="A9" s="5" t="s">
        <v>58</v>
      </c>
      <c r="B9" s="7">
        <v>70.0</v>
      </c>
      <c r="C9" s="9" t="s">
        <v>61</v>
      </c>
    </row>
    <row r="10">
      <c r="A10" s="5" t="s">
        <v>62</v>
      </c>
      <c r="B10" s="7">
        <v>90.0</v>
      </c>
      <c r="C10" s="9" t="s">
        <v>69</v>
      </c>
    </row>
    <row r="11">
      <c r="A11" s="5" t="s">
        <v>72</v>
      </c>
      <c r="B11" s="7">
        <v>3.0</v>
      </c>
      <c r="C11" s="9" t="s">
        <v>75</v>
      </c>
    </row>
    <row r="12">
      <c r="A12" s="5" t="s">
        <v>78</v>
      </c>
      <c r="B12" s="7">
        <v>11.0</v>
      </c>
      <c r="C12" s="9" t="s">
        <v>82</v>
      </c>
    </row>
    <row r="13">
      <c r="A13" s="5" t="s">
        <v>84</v>
      </c>
      <c r="B13" s="7">
        <v>3.0</v>
      </c>
      <c r="C13" s="9" t="s">
        <v>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8.0"/>
    <col customWidth="1" min="3" max="3" width="7.0"/>
    <col customWidth="1" min="4" max="4" width="13.0"/>
    <col customWidth="1" min="5" max="5" width="28.0"/>
    <col customWidth="1" min="6" max="6" width="13.0"/>
    <col customWidth="1" min="7" max="7" width="15.0"/>
    <col customWidth="1" min="8" max="26" width="8.71"/>
  </cols>
  <sheetData>
    <row r="1" ht="33.75" customHeight="1">
      <c r="A1" s="1" t="s">
        <v>3</v>
      </c>
      <c r="B1" s="1" t="s">
        <v>6</v>
      </c>
      <c r="C1" s="1" t="s">
        <v>8</v>
      </c>
      <c r="D1" s="1" t="s">
        <v>10</v>
      </c>
      <c r="E1" s="1" t="s">
        <v>12</v>
      </c>
      <c r="F1" s="1" t="s">
        <v>16</v>
      </c>
      <c r="G1" s="1" t="s">
        <v>17</v>
      </c>
    </row>
    <row r="2">
      <c r="A2" s="8" t="s">
        <v>19</v>
      </c>
      <c r="B2" s="5" t="s">
        <v>24</v>
      </c>
      <c r="C2" s="10">
        <v>45.0</v>
      </c>
      <c r="D2" s="11" t="s">
        <v>35</v>
      </c>
      <c r="E2" s="13" t="s">
        <v>42</v>
      </c>
      <c r="F2" s="5" t="s">
        <v>46</v>
      </c>
      <c r="G2" s="5" t="s">
        <v>47</v>
      </c>
    </row>
    <row r="3">
      <c r="A3" s="8" t="s">
        <v>51</v>
      </c>
      <c r="B3" s="5" t="s">
        <v>24</v>
      </c>
      <c r="C3" s="17">
        <v>60.0</v>
      </c>
      <c r="D3" s="20" t="s">
        <v>59</v>
      </c>
      <c r="E3" s="13" t="s">
        <v>66</v>
      </c>
      <c r="F3" s="5" t="s">
        <v>67</v>
      </c>
      <c r="G3" s="5" t="s">
        <v>47</v>
      </c>
    </row>
    <row r="4">
      <c r="A4" s="8" t="s">
        <v>71</v>
      </c>
      <c r="B4" s="5" t="s">
        <v>24</v>
      </c>
      <c r="C4" s="22">
        <v>80.0</v>
      </c>
      <c r="D4" s="24" t="s">
        <v>79</v>
      </c>
      <c r="E4" s="13" t="s">
        <v>85</v>
      </c>
      <c r="F4" s="5" t="s">
        <v>67</v>
      </c>
      <c r="G4" s="5" t="s">
        <v>47</v>
      </c>
    </row>
    <row r="5">
      <c r="A5" s="8" t="s">
        <v>89</v>
      </c>
      <c r="B5" s="5" t="s">
        <v>90</v>
      </c>
      <c r="C5" s="11">
        <v>45.0</v>
      </c>
      <c r="D5" s="11" t="s">
        <v>35</v>
      </c>
      <c r="E5" s="13" t="s">
        <v>93</v>
      </c>
      <c r="F5" s="5" t="s">
        <v>46</v>
      </c>
      <c r="G5" s="5" t="s">
        <v>95</v>
      </c>
    </row>
    <row r="6">
      <c r="A6" s="8" t="s">
        <v>97</v>
      </c>
      <c r="B6" s="5" t="s">
        <v>90</v>
      </c>
      <c r="C6" s="20">
        <v>60.0</v>
      </c>
      <c r="D6" s="20" t="s">
        <v>59</v>
      </c>
      <c r="E6" s="13" t="s">
        <v>103</v>
      </c>
      <c r="F6" s="5" t="s">
        <v>67</v>
      </c>
      <c r="G6" s="5" t="s">
        <v>95</v>
      </c>
    </row>
    <row r="7">
      <c r="A7" s="8" t="s">
        <v>108</v>
      </c>
      <c r="B7" s="5" t="s">
        <v>90</v>
      </c>
      <c r="C7" s="24">
        <v>80.0</v>
      </c>
      <c r="D7" s="24" t="s">
        <v>79</v>
      </c>
      <c r="E7" s="13" t="s">
        <v>110</v>
      </c>
      <c r="F7" s="5" t="s">
        <v>67</v>
      </c>
      <c r="G7" s="5" t="s">
        <v>95</v>
      </c>
    </row>
    <row r="8">
      <c r="A8" s="8" t="s">
        <v>111</v>
      </c>
      <c r="B8" s="5" t="s">
        <v>112</v>
      </c>
      <c r="C8" s="11">
        <v>45.0</v>
      </c>
      <c r="D8" s="11" t="s">
        <v>35</v>
      </c>
      <c r="E8" s="13" t="s">
        <v>113</v>
      </c>
      <c r="F8" s="5" t="s">
        <v>46</v>
      </c>
      <c r="G8" s="5" t="s">
        <v>114</v>
      </c>
    </row>
    <row r="9">
      <c r="A9" s="8" t="s">
        <v>115</v>
      </c>
      <c r="B9" s="5" t="s">
        <v>112</v>
      </c>
      <c r="C9" s="20">
        <v>60.0</v>
      </c>
      <c r="D9" s="20" t="s">
        <v>59</v>
      </c>
      <c r="E9" s="13" t="s">
        <v>117</v>
      </c>
      <c r="F9" s="5" t="s">
        <v>67</v>
      </c>
      <c r="G9" s="5" t="s">
        <v>114</v>
      </c>
    </row>
    <row r="10">
      <c r="A10" s="8" t="s">
        <v>118</v>
      </c>
      <c r="B10" s="5" t="s">
        <v>112</v>
      </c>
      <c r="C10" s="24">
        <v>80.0</v>
      </c>
      <c r="D10" s="24" t="s">
        <v>79</v>
      </c>
      <c r="E10" s="13" t="s">
        <v>121</v>
      </c>
      <c r="F10" s="5" t="s">
        <v>67</v>
      </c>
      <c r="G10" s="5" t="s">
        <v>114</v>
      </c>
    </row>
    <row r="11">
      <c r="A11" s="8" t="s">
        <v>122</v>
      </c>
      <c r="B11" s="5" t="s">
        <v>124</v>
      </c>
      <c r="C11" s="27" t="s">
        <v>125</v>
      </c>
      <c r="D11" s="29" t="s">
        <v>127</v>
      </c>
      <c r="E11" s="13" t="s">
        <v>129</v>
      </c>
      <c r="F11" s="5" t="s">
        <v>67</v>
      </c>
      <c r="G11" s="8" t="s">
        <v>130</v>
      </c>
    </row>
    <row r="12">
      <c r="A12" s="30" t="s">
        <v>131</v>
      </c>
      <c r="B12" s="31" t="s">
        <v>124</v>
      </c>
      <c r="C12" s="32" t="s">
        <v>125</v>
      </c>
      <c r="D12" s="33" t="s">
        <v>132</v>
      </c>
      <c r="E12" s="34" t="s">
        <v>133</v>
      </c>
      <c r="F12" s="31" t="s">
        <v>67</v>
      </c>
      <c r="G12" s="30" t="s">
        <v>130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11.0"/>
    <col customWidth="1" min="3" max="3" width="16.0"/>
    <col customWidth="1" min="4" max="4" width="7.0"/>
    <col customWidth="1" min="5" max="6" width="10.0"/>
    <col customWidth="1" hidden="1" min="7" max="7" width="30.0"/>
    <col customWidth="1" min="8" max="9" width="26.0"/>
    <col customWidth="1" min="10" max="11" width="32.0"/>
    <col customWidth="1" min="12" max="12" width="50.57"/>
    <col customWidth="1" min="13" max="13" width="44.86"/>
    <col customWidth="1" min="14" max="14" width="39.14"/>
    <col customWidth="1" min="15" max="26" width="8.71"/>
  </cols>
  <sheetData>
    <row r="1" ht="43.5" customHeight="1">
      <c r="A1" s="1" t="s">
        <v>2</v>
      </c>
      <c r="B1" s="1" t="s">
        <v>5</v>
      </c>
      <c r="C1" s="1" t="s">
        <v>9</v>
      </c>
      <c r="D1" s="1" t="s">
        <v>11</v>
      </c>
      <c r="E1" s="1" t="s">
        <v>15</v>
      </c>
      <c r="F1" s="1" t="s">
        <v>14</v>
      </c>
      <c r="G1" s="1" t="s">
        <v>23</v>
      </c>
      <c r="H1" s="1" t="s">
        <v>27</v>
      </c>
      <c r="I1" s="1" t="s">
        <v>31</v>
      </c>
      <c r="J1" s="1" t="s">
        <v>34</v>
      </c>
      <c r="K1" s="1" t="s">
        <v>38</v>
      </c>
      <c r="L1" s="14" t="s">
        <v>41</v>
      </c>
      <c r="M1" s="15" t="s">
        <v>49</v>
      </c>
      <c r="N1" s="15"/>
    </row>
    <row r="2" ht="48.0" customHeight="1">
      <c r="A2" s="19" t="s">
        <v>56</v>
      </c>
      <c r="B2" s="21" t="s">
        <v>65</v>
      </c>
      <c r="C2" s="21" t="s">
        <v>74</v>
      </c>
      <c r="D2" s="23" t="s">
        <v>67</v>
      </c>
      <c r="E2" s="25">
        <f>IF(D2="本命",'パラメータ'!$B$12,'パラメータ'!$B$13)</f>
        <v>11</v>
      </c>
      <c r="F2" s="23">
        <v>50.0</v>
      </c>
      <c r="G2" s="26" t="s">
        <v>116</v>
      </c>
      <c r="H2" s="26"/>
      <c r="I2" s="26" t="s">
        <v>119</v>
      </c>
      <c r="J2" s="26"/>
      <c r="K2" s="26" t="s">
        <v>120</v>
      </c>
      <c r="N2" s="15"/>
    </row>
    <row r="3" ht="48.0" customHeight="1">
      <c r="A3" s="19" t="s">
        <v>123</v>
      </c>
      <c r="B3" s="28" t="s">
        <v>126</v>
      </c>
      <c r="C3" s="28" t="s">
        <v>128</v>
      </c>
      <c r="D3" s="28" t="s">
        <v>67</v>
      </c>
      <c r="E3" s="25">
        <f>IF(D3="本命",'パラメータ'!$B$12,'パラメータ'!$B$13)</f>
        <v>11</v>
      </c>
      <c r="F3" s="28">
        <v>35.0</v>
      </c>
      <c r="G3" s="35"/>
      <c r="H3" s="35" t="s">
        <v>138</v>
      </c>
      <c r="I3" s="35" t="s">
        <v>140</v>
      </c>
      <c r="J3" s="36" t="s">
        <v>141</v>
      </c>
      <c r="K3" s="36" t="s">
        <v>144</v>
      </c>
      <c r="L3" s="38" t="s">
        <v>145</v>
      </c>
      <c r="M3" s="15" t="s">
        <v>148</v>
      </c>
    </row>
    <row r="4" ht="48.0" customHeight="1">
      <c r="A4" s="19" t="s">
        <v>151</v>
      </c>
      <c r="B4" s="28" t="s">
        <v>152</v>
      </c>
      <c r="C4" s="28" t="s">
        <v>153</v>
      </c>
      <c r="D4" s="28" t="s">
        <v>67</v>
      </c>
      <c r="E4" s="25">
        <f>IF(D4="本命",'パラメータ'!$B$12,'パラメータ'!$B$13)</f>
        <v>11</v>
      </c>
      <c r="F4" s="28">
        <v>70.0</v>
      </c>
      <c r="G4" s="35"/>
      <c r="H4" s="39" t="s">
        <v>154</v>
      </c>
      <c r="I4" s="39" t="s">
        <v>155</v>
      </c>
      <c r="J4" s="36"/>
      <c r="K4" s="36"/>
      <c r="L4" s="15" t="s">
        <v>156</v>
      </c>
      <c r="M4" s="15" t="s">
        <v>157</v>
      </c>
    </row>
    <row r="5" ht="48.0" customHeight="1">
      <c r="A5" s="19" t="s">
        <v>158</v>
      </c>
      <c r="B5" s="28" t="s">
        <v>159</v>
      </c>
      <c r="C5" s="28" t="s">
        <v>160</v>
      </c>
      <c r="D5" s="28" t="s">
        <v>161</v>
      </c>
      <c r="E5" s="25">
        <f>IF(D5="本命",'パラメータ'!$B$12,'パラメータ'!$B$13)</f>
        <v>3</v>
      </c>
      <c r="F5" s="28">
        <v>60.0</v>
      </c>
      <c r="G5" s="35"/>
      <c r="H5" s="35"/>
      <c r="I5" s="35"/>
      <c r="J5" s="36"/>
      <c r="K5" s="36"/>
      <c r="L5" s="15" t="s">
        <v>163</v>
      </c>
      <c r="M5" s="15" t="s">
        <v>164</v>
      </c>
    </row>
    <row r="6" ht="48.0" customHeight="1">
      <c r="A6" s="19" t="s">
        <v>166</v>
      </c>
      <c r="B6" s="28" t="s">
        <v>168</v>
      </c>
      <c r="C6" s="28" t="s">
        <v>170</v>
      </c>
      <c r="D6" s="28" t="s">
        <v>161</v>
      </c>
      <c r="E6" s="25">
        <f>IF(D6="本命",'パラメータ'!$B$12,'パラメータ'!$B$13)</f>
        <v>3</v>
      </c>
      <c r="F6" s="28">
        <v>60.0</v>
      </c>
      <c r="G6" s="35"/>
      <c r="H6" s="35"/>
      <c r="I6" s="35"/>
      <c r="J6" s="36"/>
      <c r="K6" s="36"/>
    </row>
    <row r="7" ht="48.0" customHeight="1">
      <c r="A7" s="19" t="s">
        <v>172</v>
      </c>
      <c r="B7" s="28" t="s">
        <v>173</v>
      </c>
      <c r="C7" s="40" t="s">
        <v>174</v>
      </c>
      <c r="D7" s="28" t="s">
        <v>161</v>
      </c>
      <c r="E7" s="25">
        <f>IF(D7="本命",'パラメータ'!$B$12,'パラメータ'!$B$13)</f>
        <v>3</v>
      </c>
      <c r="F7" s="28">
        <v>60.0</v>
      </c>
      <c r="G7" s="35"/>
      <c r="H7" s="35"/>
      <c r="I7" s="35"/>
      <c r="J7" s="36"/>
      <c r="K7" s="36"/>
      <c r="L7" s="15" t="s">
        <v>175</v>
      </c>
      <c r="M7" s="15" t="s">
        <v>176</v>
      </c>
    </row>
    <row r="8" ht="48.0" customHeight="1">
      <c r="A8" s="19" t="s">
        <v>177</v>
      </c>
      <c r="B8" s="28"/>
      <c r="C8" s="28" t="s">
        <v>178</v>
      </c>
      <c r="D8" s="28" t="s">
        <v>161</v>
      </c>
      <c r="E8" s="25">
        <f>IF(D8="本命",'パラメータ'!$B$12,'パラメータ'!$B$13)</f>
        <v>3</v>
      </c>
      <c r="F8" s="28">
        <v>60.0</v>
      </c>
      <c r="G8" s="35"/>
      <c r="H8" s="35"/>
      <c r="I8" s="35"/>
      <c r="J8" s="36"/>
      <c r="K8" s="36"/>
    </row>
    <row r="9" ht="48.0" customHeight="1">
      <c r="A9" s="19" t="s">
        <v>179</v>
      </c>
      <c r="B9" s="28"/>
      <c r="C9" s="28" t="s">
        <v>180</v>
      </c>
      <c r="D9" s="28" t="s">
        <v>161</v>
      </c>
      <c r="E9" s="25">
        <f>IF(D9="本命",'パラメータ'!$B$12,'パラメータ'!$B$13)</f>
        <v>3</v>
      </c>
      <c r="F9" s="28">
        <v>60.0</v>
      </c>
      <c r="G9" s="35"/>
      <c r="H9" s="35"/>
      <c r="I9" s="35"/>
      <c r="J9" s="36"/>
      <c r="K9" s="36"/>
    </row>
    <row r="10" ht="48.0" customHeight="1">
      <c r="A10" s="19" t="s">
        <v>187</v>
      </c>
      <c r="B10" s="28"/>
      <c r="C10" s="28" t="s">
        <v>189</v>
      </c>
      <c r="D10" s="28" t="s">
        <v>161</v>
      </c>
      <c r="E10" s="25">
        <f>IF(D10="本命",'パラメータ'!$B$12,'パラメータ'!$B$13)</f>
        <v>3</v>
      </c>
      <c r="F10" s="28">
        <v>60.0</v>
      </c>
      <c r="G10" s="35"/>
      <c r="H10" s="35"/>
      <c r="I10" s="35"/>
      <c r="J10" s="36"/>
      <c r="K10" s="36"/>
    </row>
    <row r="11" ht="48.0" customHeight="1">
      <c r="A11" s="19" t="s">
        <v>200</v>
      </c>
      <c r="B11" s="28"/>
      <c r="C11" s="28" t="s">
        <v>203</v>
      </c>
      <c r="D11" s="28" t="s">
        <v>161</v>
      </c>
      <c r="E11" s="25">
        <f>IF(D11="本命",'パラメータ'!$B$12,'パラメータ'!$B$13)</f>
        <v>3</v>
      </c>
      <c r="F11" s="28">
        <v>60.0</v>
      </c>
      <c r="G11" s="35"/>
      <c r="H11" s="35"/>
      <c r="I11" s="35"/>
      <c r="J11" s="36"/>
      <c r="K11"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8.0"/>
    <col customWidth="1" min="3" max="3" width="9.0"/>
    <col customWidth="1" min="4" max="4" width="6.0"/>
    <col customWidth="1" hidden="1" min="5" max="5" width="20.0"/>
    <col customWidth="1" min="6" max="6" width="8.0"/>
    <col customWidth="1" min="7" max="7" width="7.0"/>
    <col customWidth="1" min="8" max="8" width="6.0"/>
    <col customWidth="1" min="9" max="9" width="10.0"/>
    <col customWidth="1" min="10" max="10" width="18.0"/>
    <col customWidth="1" min="11" max="11" width="34.0"/>
    <col customWidth="1" min="12" max="12" width="30.0"/>
    <col customWidth="1" min="13" max="14" width="24.0"/>
    <col customWidth="1" min="15" max="15" width="8.0"/>
    <col customWidth="1" min="16" max="26" width="8.71"/>
  </cols>
  <sheetData>
    <row r="1" ht="45.75" customHeight="1">
      <c r="A1" s="1" t="s">
        <v>134</v>
      </c>
      <c r="B1" s="1" t="s">
        <v>135</v>
      </c>
      <c r="C1" s="1" t="s">
        <v>136</v>
      </c>
      <c r="D1" s="1" t="s">
        <v>11</v>
      </c>
      <c r="E1" s="1" t="s">
        <v>137</v>
      </c>
      <c r="F1" s="1" t="s">
        <v>139</v>
      </c>
      <c r="G1" s="1" t="s">
        <v>6</v>
      </c>
      <c r="H1" s="1" t="s">
        <v>8</v>
      </c>
      <c r="I1" s="1" t="s">
        <v>10</v>
      </c>
      <c r="J1" s="1" t="s">
        <v>142</v>
      </c>
      <c r="K1" s="37" t="s">
        <v>143</v>
      </c>
      <c r="L1" s="1" t="s">
        <v>146</v>
      </c>
      <c r="M1" s="1" t="s">
        <v>147</v>
      </c>
      <c r="N1" s="1" t="s">
        <v>149</v>
      </c>
      <c r="O1" s="1" t="s">
        <v>150</v>
      </c>
    </row>
    <row r="2" ht="48.0" customHeight="1">
      <c r="A2" s="25" t="str">
        <f t="shared" ref="A2:A55" si="1">B2&amp;"_"&amp;F2</f>
        <v>C01_P1</v>
      </c>
      <c r="B2" s="19" t="s">
        <v>56</v>
      </c>
      <c r="C2" s="25" t="str">
        <f t="array" ref="C2">IFERROR(IF(INDEX('キャラ'!$B:$B,MATCH($B2,'キャラ'!$A:$A,0))=0,"",INDEX('キャラ'!$B:$B,MATCH($B2,'キャラ'!$A:$A,0))),"")</f>
        <v>アリエル</v>
      </c>
      <c r="D2" s="25" t="str">
        <f t="array" ref="D2">IFERROR(INDEX('キャラ'!$D:$D,MATCH($B2,'キャラ'!$A:$A,0)),"")</f>
        <v>本命</v>
      </c>
      <c r="E2" s="41"/>
      <c r="F2" s="19" t="s">
        <v>19</v>
      </c>
      <c r="G2" s="25" t="str">
        <f t="array" ref="G2">IFERROR(INDEX('トピック'!$B:$B,MATCH($F2,'トピック'!$A:$A,0)),"")</f>
        <v>場所</v>
      </c>
      <c r="H2" s="45">
        <f t="array" ref="H2">IFERROR(INDEX('トピック'!$C:$C,MATCH($F2,'トピック'!$A:$A,0)),"")</f>
        <v>45</v>
      </c>
      <c r="I2" s="45" t="str">
        <f t="array" ref="I2">IFERROR(INDEX('トピック'!$D:$D,MATCH($F2,'トピック'!$A:$A,0)),"")</f>
        <v>軽い</v>
      </c>
      <c r="J2" s="44"/>
      <c r="K2" s="26"/>
      <c r="L2" s="26"/>
      <c r="M2" s="26"/>
      <c r="N2" s="26"/>
      <c r="O2" s="25"/>
    </row>
    <row r="3" ht="48.0" customHeight="1">
      <c r="A3" s="25" t="str">
        <f t="shared" si="1"/>
        <v>C01_P2</v>
      </c>
      <c r="B3" s="19" t="s">
        <v>56</v>
      </c>
      <c r="C3" s="25" t="str">
        <f t="array" ref="C3">IFERROR(IF(INDEX('キャラ'!$B:$B,MATCH($B3,'キャラ'!$A:$A,0))=0,"",INDEX('キャラ'!$B:$B,MATCH($B3,'キャラ'!$A:$A,0))),"")</f>
        <v>アリエル</v>
      </c>
      <c r="D3" s="25" t="str">
        <f t="array" ref="D3">IFERROR(INDEX('キャラ'!$D:$D,MATCH($B3,'キャラ'!$A:$A,0)),"")</f>
        <v>本命</v>
      </c>
      <c r="E3" s="41"/>
      <c r="F3" s="19" t="s">
        <v>51</v>
      </c>
      <c r="G3" s="25" t="str">
        <f t="array" ref="G3">IFERROR(INDEX('トピック'!$B:$B,MATCH($F3,'トピック'!$A:$A,0)),"")</f>
        <v>場所</v>
      </c>
      <c r="H3" s="49">
        <f t="array" ref="H3">IFERROR(INDEX('トピック'!$C:$C,MATCH($F3,'トピック'!$A:$A,0)),"")</f>
        <v>60</v>
      </c>
      <c r="I3" s="49" t="str">
        <f t="array" ref="I3">IFERROR(INDEX('トピック'!$D:$D,MATCH($F3,'トピック'!$A:$A,0)),"")</f>
        <v>普通</v>
      </c>
      <c r="J3" s="44"/>
      <c r="K3" s="26"/>
      <c r="L3" s="26"/>
      <c r="M3" s="26"/>
      <c r="N3" s="26"/>
      <c r="O3" s="25"/>
    </row>
    <row r="4" ht="48.0" customHeight="1">
      <c r="A4" s="25" t="str">
        <f t="shared" si="1"/>
        <v>C01_P3</v>
      </c>
      <c r="B4" s="19" t="s">
        <v>56</v>
      </c>
      <c r="C4" s="25" t="str">
        <f t="array" ref="C4">IFERROR(IF(INDEX('キャラ'!$B:$B,MATCH($B4,'キャラ'!$A:$A,0))=0,"",INDEX('キャラ'!$B:$B,MATCH($B4,'キャラ'!$A:$A,0))),"")</f>
        <v>アリエル</v>
      </c>
      <c r="D4" s="25" t="str">
        <f t="array" ref="D4">IFERROR(INDEX('キャラ'!$D:$D,MATCH($B4,'キャラ'!$A:$A,0)),"")</f>
        <v>本命</v>
      </c>
      <c r="E4" s="41"/>
      <c r="F4" s="19" t="s">
        <v>71</v>
      </c>
      <c r="G4" s="25" t="str">
        <f t="array" ref="G4">IFERROR(INDEX('トピック'!$B:$B,MATCH($F4,'トピック'!$A:$A,0)),"")</f>
        <v>場所</v>
      </c>
      <c r="H4" s="50">
        <f t="array" ref="H4">IFERROR(INDEX('トピック'!$C:$C,MATCH($F4,'トピック'!$A:$A,0)),"")</f>
        <v>80</v>
      </c>
      <c r="I4" s="50" t="str">
        <f t="array" ref="I4">IFERROR(INDEX('トピック'!$D:$D,MATCH($F4,'トピック'!$A:$A,0)),"")</f>
        <v>踏み込む</v>
      </c>
      <c r="J4" s="44"/>
      <c r="K4" s="26"/>
      <c r="L4" s="26"/>
      <c r="M4" s="26"/>
      <c r="N4" s="26"/>
      <c r="O4" s="25"/>
    </row>
    <row r="5" ht="48.0" customHeight="1">
      <c r="A5" s="25" t="str">
        <f t="shared" si="1"/>
        <v>C01_A1</v>
      </c>
      <c r="B5" s="19" t="s">
        <v>56</v>
      </c>
      <c r="C5" s="25" t="str">
        <f t="array" ref="C5">IFERROR(IF(INDEX('キャラ'!$B:$B,MATCH($B5,'キャラ'!$A:$A,0))=0,"",INDEX('キャラ'!$B:$B,MATCH($B5,'キャラ'!$A:$A,0))),"")</f>
        <v>アリエル</v>
      </c>
      <c r="D5" s="25" t="str">
        <f t="array" ref="D5">IFERROR(INDEX('キャラ'!$D:$D,MATCH($B5,'キャラ'!$A:$A,0)),"")</f>
        <v>本命</v>
      </c>
      <c r="E5" s="41"/>
      <c r="F5" s="19" t="s">
        <v>89</v>
      </c>
      <c r="G5" s="25" t="str">
        <f t="array" ref="G5">IFERROR(INDEX('トピック'!$B:$B,MATCH($F5,'トピック'!$A:$A,0)),"")</f>
        <v>行動</v>
      </c>
      <c r="H5" s="45">
        <f t="array" ref="H5">IFERROR(INDEX('トピック'!$C:$C,MATCH($F5,'トピック'!$A:$A,0)),"")</f>
        <v>45</v>
      </c>
      <c r="I5" s="45" t="str">
        <f t="array" ref="I5">IFERROR(INDEX('トピック'!$D:$D,MATCH($F5,'トピック'!$A:$A,0)),"")</f>
        <v>軽い</v>
      </c>
      <c r="J5" s="44"/>
      <c r="K5" s="26"/>
      <c r="L5" s="26"/>
      <c r="M5" s="26"/>
      <c r="N5" s="26"/>
      <c r="O5" s="25"/>
    </row>
    <row r="6" ht="48.0" customHeight="1">
      <c r="A6" s="25" t="str">
        <f t="shared" si="1"/>
        <v>C01_A2</v>
      </c>
      <c r="B6" s="19" t="s">
        <v>56</v>
      </c>
      <c r="C6" s="25" t="str">
        <f t="array" ref="C6">IFERROR(IF(INDEX('キャラ'!$B:$B,MATCH($B6,'キャラ'!$A:$A,0))=0,"",INDEX('キャラ'!$B:$B,MATCH($B6,'キャラ'!$A:$A,0))),"")</f>
        <v>アリエル</v>
      </c>
      <c r="D6" s="25" t="str">
        <f t="array" ref="D6">IFERROR(INDEX('キャラ'!$D:$D,MATCH($B6,'キャラ'!$A:$A,0)),"")</f>
        <v>本命</v>
      </c>
      <c r="E6" s="41"/>
      <c r="F6" s="19" t="s">
        <v>97</v>
      </c>
      <c r="G6" s="25" t="str">
        <f t="array" ref="G6">IFERROR(INDEX('トピック'!$B:$B,MATCH($F6,'トピック'!$A:$A,0)),"")</f>
        <v>行動</v>
      </c>
      <c r="H6" s="49">
        <f t="array" ref="H6">IFERROR(INDEX('トピック'!$C:$C,MATCH($F6,'トピック'!$A:$A,0)),"")</f>
        <v>60</v>
      </c>
      <c r="I6" s="49" t="str">
        <f t="array" ref="I6">IFERROR(INDEX('トピック'!$D:$D,MATCH($F6,'トピック'!$A:$A,0)),"")</f>
        <v>普通</v>
      </c>
      <c r="J6" s="44"/>
      <c r="K6" s="26"/>
      <c r="L6" s="26"/>
      <c r="M6" s="26"/>
      <c r="N6" s="26"/>
      <c r="O6" s="25"/>
    </row>
    <row r="7" ht="48.0" customHeight="1">
      <c r="A7" s="25" t="str">
        <f t="shared" si="1"/>
        <v>C01_A3</v>
      </c>
      <c r="B7" s="19" t="s">
        <v>56</v>
      </c>
      <c r="C7" s="25" t="str">
        <f t="array" ref="C7">IFERROR(IF(INDEX('キャラ'!$B:$B,MATCH($B7,'キャラ'!$A:$A,0))=0,"",INDEX('キャラ'!$B:$B,MATCH($B7,'キャラ'!$A:$A,0))),"")</f>
        <v>アリエル</v>
      </c>
      <c r="D7" s="25" t="str">
        <f t="array" ref="D7">IFERROR(INDEX('キャラ'!$D:$D,MATCH($B7,'キャラ'!$A:$A,0)),"")</f>
        <v>本命</v>
      </c>
      <c r="E7" s="41"/>
      <c r="F7" s="19" t="s">
        <v>108</v>
      </c>
      <c r="G7" s="25" t="str">
        <f t="array" ref="G7">IFERROR(INDEX('トピック'!$B:$B,MATCH($F7,'トピック'!$A:$A,0)),"")</f>
        <v>行動</v>
      </c>
      <c r="H7" s="50">
        <f t="array" ref="H7">IFERROR(INDEX('トピック'!$C:$C,MATCH($F7,'トピック'!$A:$A,0)),"")</f>
        <v>80</v>
      </c>
      <c r="I7" s="50" t="str">
        <f t="array" ref="I7">IFERROR(INDEX('トピック'!$D:$D,MATCH($F7,'トピック'!$A:$A,0)),"")</f>
        <v>踏み込む</v>
      </c>
      <c r="J7" s="44"/>
      <c r="K7" s="26"/>
      <c r="L7" s="26"/>
      <c r="M7" s="26"/>
      <c r="N7" s="26"/>
      <c r="O7" s="25"/>
    </row>
    <row r="8" ht="48.0" customHeight="1">
      <c r="A8" s="25" t="str">
        <f t="shared" si="1"/>
        <v>C01_G1</v>
      </c>
      <c r="B8" s="19" t="s">
        <v>56</v>
      </c>
      <c r="C8" s="25" t="str">
        <f t="array" ref="C8">IFERROR(IF(INDEX('キャラ'!$B:$B,MATCH($B8,'キャラ'!$A:$A,0))=0,"",INDEX('キャラ'!$B:$B,MATCH($B8,'キャラ'!$A:$A,0))),"")</f>
        <v>アリエル</v>
      </c>
      <c r="D8" s="25" t="str">
        <f t="array" ref="D8">IFERROR(INDEX('キャラ'!$D:$D,MATCH($B8,'キャラ'!$A:$A,0)),"")</f>
        <v>本命</v>
      </c>
      <c r="E8" s="41"/>
      <c r="F8" s="19" t="s">
        <v>111</v>
      </c>
      <c r="G8" s="25" t="str">
        <f t="array" ref="G8">IFERROR(INDEX('トピック'!$B:$B,MATCH($F8,'トピック'!$A:$A,0)),"")</f>
        <v>目的</v>
      </c>
      <c r="H8" s="45">
        <f t="array" ref="H8">IFERROR(INDEX('トピック'!$C:$C,MATCH($F8,'トピック'!$A:$A,0)),"")</f>
        <v>45</v>
      </c>
      <c r="I8" s="45" t="str">
        <f t="array" ref="I8">IFERROR(INDEX('トピック'!$D:$D,MATCH($F8,'トピック'!$A:$A,0)),"")</f>
        <v>軽い</v>
      </c>
      <c r="J8" s="44"/>
      <c r="K8" s="26"/>
      <c r="L8" s="26"/>
      <c r="M8" s="26"/>
      <c r="N8" s="26"/>
      <c r="O8" s="25"/>
    </row>
    <row r="9" ht="48.0" customHeight="1">
      <c r="A9" s="25" t="str">
        <f t="shared" si="1"/>
        <v>C01_G2</v>
      </c>
      <c r="B9" s="19" t="s">
        <v>56</v>
      </c>
      <c r="C9" s="25" t="str">
        <f t="array" ref="C9">IFERROR(IF(INDEX('キャラ'!$B:$B,MATCH($B9,'キャラ'!$A:$A,0))=0,"",INDEX('キャラ'!$B:$B,MATCH($B9,'キャラ'!$A:$A,0))),"")</f>
        <v>アリエル</v>
      </c>
      <c r="D9" s="25" t="str">
        <f t="array" ref="D9">IFERROR(INDEX('キャラ'!$D:$D,MATCH($B9,'キャラ'!$A:$A,0)),"")</f>
        <v>本命</v>
      </c>
      <c r="E9" s="41"/>
      <c r="F9" s="19" t="s">
        <v>115</v>
      </c>
      <c r="G9" s="25" t="str">
        <f t="array" ref="G9">IFERROR(INDEX('トピック'!$B:$B,MATCH($F9,'トピック'!$A:$A,0)),"")</f>
        <v>目的</v>
      </c>
      <c r="H9" s="49">
        <f t="array" ref="H9">IFERROR(INDEX('トピック'!$C:$C,MATCH($F9,'トピック'!$A:$A,0)),"")</f>
        <v>60</v>
      </c>
      <c r="I9" s="49" t="str">
        <f t="array" ref="I9">IFERROR(INDEX('トピック'!$D:$D,MATCH($F9,'トピック'!$A:$A,0)),"")</f>
        <v>普通</v>
      </c>
      <c r="J9" s="44"/>
      <c r="K9" s="26"/>
      <c r="L9" s="26"/>
      <c r="M9" s="26"/>
      <c r="N9" s="26"/>
      <c r="O9" s="25"/>
    </row>
    <row r="10" ht="48.0" customHeight="1">
      <c r="A10" s="25" t="str">
        <f t="shared" si="1"/>
        <v>C01_G3</v>
      </c>
      <c r="B10" s="19" t="s">
        <v>56</v>
      </c>
      <c r="C10" s="25" t="str">
        <f t="array" ref="C10">IFERROR(IF(INDEX('キャラ'!$B:$B,MATCH($B10,'キャラ'!$A:$A,0))=0,"",INDEX('キャラ'!$B:$B,MATCH($B10,'キャラ'!$A:$A,0))),"")</f>
        <v>アリエル</v>
      </c>
      <c r="D10" s="25" t="str">
        <f t="array" ref="D10">IFERROR(INDEX('キャラ'!$D:$D,MATCH($B10,'キャラ'!$A:$A,0)),"")</f>
        <v>本命</v>
      </c>
      <c r="E10" s="41"/>
      <c r="F10" s="19" t="s">
        <v>118</v>
      </c>
      <c r="G10" s="25" t="str">
        <f t="array" ref="G10">IFERROR(INDEX('トピック'!$B:$B,MATCH($F10,'トピック'!$A:$A,0)),"")</f>
        <v>目的</v>
      </c>
      <c r="H10" s="50">
        <f t="array" ref="H10">IFERROR(INDEX('トピック'!$C:$C,MATCH($F10,'トピック'!$A:$A,0)),"")</f>
        <v>80</v>
      </c>
      <c r="I10" s="50" t="str">
        <f t="array" ref="I10">IFERROR(INDEX('トピック'!$D:$D,MATCH($F10,'トピック'!$A:$A,0)),"")</f>
        <v>踏み込む</v>
      </c>
      <c r="J10" s="44"/>
      <c r="K10" s="26"/>
      <c r="L10" s="26"/>
      <c r="M10" s="26"/>
      <c r="N10" s="26"/>
      <c r="O10" s="25"/>
    </row>
    <row r="11" ht="48.0" customHeight="1">
      <c r="A11" s="25" t="str">
        <f t="shared" si="1"/>
        <v>C01_W1</v>
      </c>
      <c r="B11" s="19" t="s">
        <v>56</v>
      </c>
      <c r="C11" s="25" t="str">
        <f t="array" ref="C11">IFERROR(IF(INDEX('キャラ'!$B:$B,MATCH($B11,'キャラ'!$A:$A,0))=0,"",INDEX('キャラ'!$B:$B,MATCH($B11,'キャラ'!$A:$A,0))),"")</f>
        <v>アリエル</v>
      </c>
      <c r="D11" s="25" t="str">
        <f t="array" ref="D11">IFERROR(INDEX('キャラ'!$D:$D,MATCH($B11,'キャラ'!$A:$A,0)),"")</f>
        <v>本命</v>
      </c>
      <c r="E11" s="41"/>
      <c r="F11" s="19" t="s">
        <v>122</v>
      </c>
      <c r="G11" s="25" t="str">
        <f t="array" ref="G11">IFERROR(INDEX('トピック'!$B:$B,MATCH($F11,'トピック'!$A:$A,0)),"")</f>
        <v>弱音</v>
      </c>
      <c r="H11" s="19" t="str">
        <f t="array" ref="H11">IFERROR(INDEX('トピック'!$C:$C,MATCH($F11,'トピック'!$A:$A,0)),"")</f>
        <v>–</v>
      </c>
      <c r="I11" s="19" t="str">
        <f t="array" ref="I11">IFERROR(INDEX('トピック'!$D:$D,MATCH($F11,'トピック'!$A:$A,0)),"")</f>
        <v>（軸カード）</v>
      </c>
      <c r="J11" s="44"/>
      <c r="K11" s="26"/>
      <c r="L11" s="26"/>
      <c r="M11" s="26"/>
      <c r="N11" s="26"/>
      <c r="O11" s="25"/>
    </row>
    <row r="12" ht="48.0" customHeight="1">
      <c r="A12" s="54" t="str">
        <f t="shared" si="1"/>
        <v>C01_W2</v>
      </c>
      <c r="B12" s="55" t="s">
        <v>56</v>
      </c>
      <c r="C12" s="54" t="str">
        <f t="array" ref="C12">IFERROR(IF(INDEX('キャラ'!$B:$B,MATCH($B12,'キャラ'!$A:$A,0))=0,"",INDEX('キャラ'!$B:$B,MATCH($B12,'キャラ'!$A:$A,0))),"")</f>
        <v>アリエル</v>
      </c>
      <c r="D12" s="54" t="str">
        <f t="array" ref="D12">IFERROR(INDEX('キャラ'!$D:$D,MATCH($B12,'キャラ'!$A:$A,0)),"")</f>
        <v>本命</v>
      </c>
      <c r="E12" s="56"/>
      <c r="F12" s="55" t="s">
        <v>131</v>
      </c>
      <c r="G12" s="54" t="str">
        <f t="array" ref="G12">IFERROR(INDEX('トピック'!$B:$B,MATCH($F12,'トピック'!$A:$A,0)),"")</f>
        <v>弱音</v>
      </c>
      <c r="H12" s="55" t="str">
        <f t="array" ref="H12">IFERROR(INDEX('トピック'!$C:$C,MATCH($F12,'トピック'!$A:$A,0)),"")</f>
        <v>–</v>
      </c>
      <c r="I12" s="55" t="str">
        <f t="array" ref="I12">IFERROR(INDEX('トピック'!$D:$D,MATCH($F12,'トピック'!$A:$A,0)),"")</f>
        <v>（核心カード）</v>
      </c>
      <c r="J12" s="57"/>
      <c r="K12" s="58"/>
      <c r="L12" s="58"/>
      <c r="M12" s="58"/>
      <c r="N12" s="58"/>
      <c r="O12" s="54"/>
    </row>
    <row r="13" ht="48.0" customHeight="1">
      <c r="A13" s="25" t="str">
        <f t="shared" si="1"/>
        <v>C02_P1</v>
      </c>
      <c r="B13" s="19" t="s">
        <v>123</v>
      </c>
      <c r="C13" s="25" t="str">
        <f t="array" ref="C13">IFERROR(IF(INDEX('キャラ'!$B:$B,MATCH($B13,'キャラ'!$A:$A,0))=0,"",INDEX('キャラ'!$B:$B,MATCH($B13,'キャラ'!$A:$A,0))),"")</f>
        <v>アリーシア</v>
      </c>
      <c r="D13" s="25" t="str">
        <f t="array" ref="D13">IFERROR(INDEX('キャラ'!$D:$D,MATCH($B13,'キャラ'!$A:$A,0)),"")</f>
        <v>本命</v>
      </c>
      <c r="E13" s="41" t="str">
        <f t="array" ref="E13">IFERROR(IF(INDEX('キャラ'!$G:$G,MATCH($B13,'キャラ'!$A:$A,0))=0,"",INDEX('キャラ'!$G:$G,MATCH($B13,'キャラ'!$A:$A,0))),"")</f>
        <v/>
      </c>
      <c r="F13" s="19" t="s">
        <v>19</v>
      </c>
      <c r="G13" s="25" t="str">
        <f t="array" ref="G13">IFERROR(INDEX('トピック'!$B:$B,MATCH($F13,'トピック'!$A:$A,0)),"")</f>
        <v>場所</v>
      </c>
      <c r="H13" s="45">
        <f t="array" ref="H13">IFERROR(INDEX('トピック'!$C:$C,MATCH($F13,'トピック'!$A:$A,0)),"")</f>
        <v>45</v>
      </c>
      <c r="I13" s="45" t="str">
        <f t="array" ref="I13">IFERROR(INDEX('トピック'!$D:$D,MATCH($F13,'トピック'!$A:$A,0)),"")</f>
        <v>軽い</v>
      </c>
      <c r="J13" s="44" t="str">
        <f t="array" ref="J13">IFERROR(INDEX('トピック'!$E:$E,MATCH($F13,'トピック'!$A:$A,0)),"")</f>
        <v>最近いった場所</v>
      </c>
      <c r="K13" s="36" t="s">
        <v>212</v>
      </c>
      <c r="L13" s="36" t="s">
        <v>213</v>
      </c>
      <c r="M13" s="36" t="s">
        <v>214</v>
      </c>
      <c r="N13" s="36" t="s">
        <v>215</v>
      </c>
      <c r="O13" s="25" t="str">
        <f t="shared" ref="O13:O55" si="2">IF(OR($G13="弱音",$D13="モブ"),IF(COUNTBLANK(K13:M13)&gt;0,"未完","OK"),IF(COUNTBLANK(K13:N13)&gt;0,"未完","OK"))</f>
        <v>OK</v>
      </c>
    </row>
    <row r="14" ht="48.0" customHeight="1">
      <c r="A14" s="25" t="str">
        <f t="shared" si="1"/>
        <v>C02_P2</v>
      </c>
      <c r="B14" s="19" t="s">
        <v>123</v>
      </c>
      <c r="C14" s="25" t="str">
        <f t="array" ref="C14">IFERROR(IF(INDEX('キャラ'!$B:$B,MATCH($B14,'キャラ'!$A:$A,0))=0,"",INDEX('キャラ'!$B:$B,MATCH($B14,'キャラ'!$A:$A,0))),"")</f>
        <v>アリーシア</v>
      </c>
      <c r="D14" s="25" t="str">
        <f t="array" ref="D14">IFERROR(INDEX('キャラ'!$D:$D,MATCH($B14,'キャラ'!$A:$A,0)),"")</f>
        <v>本命</v>
      </c>
      <c r="E14" s="41" t="str">
        <f t="array" ref="E14">IFERROR(IF(INDEX('キャラ'!$G:$G,MATCH($B14,'キャラ'!$A:$A,0))=0,"",INDEX('キャラ'!$G:$G,MATCH($B14,'キャラ'!$A:$A,0))),"")</f>
        <v/>
      </c>
      <c r="F14" s="19" t="s">
        <v>51</v>
      </c>
      <c r="G14" s="25" t="str">
        <f t="array" ref="G14">IFERROR(INDEX('トピック'!$B:$B,MATCH($F14,'トピック'!$A:$A,0)),"")</f>
        <v>場所</v>
      </c>
      <c r="H14" s="49">
        <f t="array" ref="H14">IFERROR(INDEX('トピック'!$C:$C,MATCH($F14,'トピック'!$A:$A,0)),"")</f>
        <v>60</v>
      </c>
      <c r="I14" s="49" t="str">
        <f t="array" ref="I14">IFERROR(INDEX('トピック'!$D:$D,MATCH($F14,'トピック'!$A:$A,0)),"")</f>
        <v>普通</v>
      </c>
      <c r="J14" s="44" t="str">
        <f t="array" ref="J14">IFERROR(INDEX('トピック'!$E:$E,MATCH($F14,'トピック'!$A:$A,0)),"")</f>
        <v>行ってみたい場所</v>
      </c>
      <c r="K14" s="36" t="s">
        <v>216</v>
      </c>
      <c r="L14" s="36" t="s">
        <v>217</v>
      </c>
      <c r="M14" s="36" t="s">
        <v>218</v>
      </c>
      <c r="N14" s="36" t="s">
        <v>219</v>
      </c>
      <c r="O14" s="25" t="str">
        <f t="shared" si="2"/>
        <v>OK</v>
      </c>
    </row>
    <row r="15" ht="48.0" customHeight="1">
      <c r="A15" s="25" t="str">
        <f t="shared" si="1"/>
        <v>C02_P3</v>
      </c>
      <c r="B15" s="19" t="s">
        <v>123</v>
      </c>
      <c r="C15" s="25" t="str">
        <f t="array" ref="C15">IFERROR(IF(INDEX('キャラ'!$B:$B,MATCH($B15,'キャラ'!$A:$A,0))=0,"",INDEX('キャラ'!$B:$B,MATCH($B15,'キャラ'!$A:$A,0))),"")</f>
        <v>アリーシア</v>
      </c>
      <c r="D15" s="25" t="str">
        <f t="array" ref="D15">IFERROR(INDEX('キャラ'!$D:$D,MATCH($B15,'キャラ'!$A:$A,0)),"")</f>
        <v>本命</v>
      </c>
      <c r="E15" s="41" t="str">
        <f t="array" ref="E15">IFERROR(IF(INDEX('キャラ'!$G:$G,MATCH($B15,'キャラ'!$A:$A,0))=0,"",INDEX('キャラ'!$G:$G,MATCH($B15,'キャラ'!$A:$A,0))),"")</f>
        <v/>
      </c>
      <c r="F15" s="19" t="s">
        <v>71</v>
      </c>
      <c r="G15" s="25" t="str">
        <f t="array" ref="G15">IFERROR(INDEX('トピック'!$B:$B,MATCH($F15,'トピック'!$A:$A,0)),"")</f>
        <v>場所</v>
      </c>
      <c r="H15" s="50">
        <f t="array" ref="H15">IFERROR(INDEX('トピック'!$C:$C,MATCH($F15,'トピック'!$A:$A,0)),"")</f>
        <v>80</v>
      </c>
      <c r="I15" s="50" t="str">
        <f t="array" ref="I15">IFERROR(INDEX('トピック'!$D:$D,MATCH($F15,'トピック'!$A:$A,0)),"")</f>
        <v>踏み込む</v>
      </c>
      <c r="J15" s="44" t="str">
        <f t="array" ref="J15">IFERROR(INDEX('トピック'!$E:$E,MATCH($F15,'トピック'!$A:$A,0)),"")</f>
        <v>出身地</v>
      </c>
      <c r="K15" s="36" t="s">
        <v>220</v>
      </c>
      <c r="L15" s="36" t="s">
        <v>221</v>
      </c>
      <c r="M15" s="36" t="s">
        <v>222</v>
      </c>
      <c r="N15" s="36" t="s">
        <v>223</v>
      </c>
      <c r="O15" s="25" t="str">
        <f t="shared" si="2"/>
        <v>OK</v>
      </c>
    </row>
    <row r="16" ht="48.0" customHeight="1">
      <c r="A16" s="25" t="str">
        <f t="shared" si="1"/>
        <v>C02_A1</v>
      </c>
      <c r="B16" s="19" t="s">
        <v>123</v>
      </c>
      <c r="C16" s="25" t="str">
        <f t="array" ref="C16">IFERROR(IF(INDEX('キャラ'!$B:$B,MATCH($B16,'キャラ'!$A:$A,0))=0,"",INDEX('キャラ'!$B:$B,MATCH($B16,'キャラ'!$A:$A,0))),"")</f>
        <v>アリーシア</v>
      </c>
      <c r="D16" s="25" t="str">
        <f t="array" ref="D16">IFERROR(INDEX('キャラ'!$D:$D,MATCH($B16,'キャラ'!$A:$A,0)),"")</f>
        <v>本命</v>
      </c>
      <c r="E16" s="41" t="str">
        <f t="array" ref="E16">IFERROR(IF(INDEX('キャラ'!$G:$G,MATCH($B16,'キャラ'!$A:$A,0))=0,"",INDEX('キャラ'!$G:$G,MATCH($B16,'キャラ'!$A:$A,0))),"")</f>
        <v/>
      </c>
      <c r="F16" s="19" t="s">
        <v>89</v>
      </c>
      <c r="G16" s="25" t="str">
        <f t="array" ref="G16">IFERROR(INDEX('トピック'!$B:$B,MATCH($F16,'トピック'!$A:$A,0)),"")</f>
        <v>行動</v>
      </c>
      <c r="H16" s="45">
        <f t="array" ref="H16">IFERROR(INDEX('トピック'!$C:$C,MATCH($F16,'トピック'!$A:$A,0)),"")</f>
        <v>45</v>
      </c>
      <c r="I16" s="45" t="str">
        <f t="array" ref="I16">IFERROR(INDEX('トピック'!$D:$D,MATCH($F16,'トピック'!$A:$A,0)),"")</f>
        <v>軽い</v>
      </c>
      <c r="J16" s="44" t="str">
        <f t="array" ref="J16">IFERROR(INDEX('トピック'!$E:$E,MATCH($F16,'トピック'!$A:$A,0)),"")</f>
        <v>休みの日、何してる？</v>
      </c>
      <c r="K16" s="36" t="s">
        <v>224</v>
      </c>
      <c r="L16" s="36" t="s">
        <v>225</v>
      </c>
      <c r="M16" s="36" t="s">
        <v>226</v>
      </c>
      <c r="N16" s="36" t="s">
        <v>227</v>
      </c>
      <c r="O16" s="25" t="str">
        <f t="shared" si="2"/>
        <v>OK</v>
      </c>
    </row>
    <row r="17" ht="48.0" customHeight="1">
      <c r="A17" s="25" t="str">
        <f t="shared" si="1"/>
        <v>C02_A2</v>
      </c>
      <c r="B17" s="19" t="s">
        <v>123</v>
      </c>
      <c r="C17" s="25" t="str">
        <f t="array" ref="C17">IFERROR(IF(INDEX('キャラ'!$B:$B,MATCH($B17,'キャラ'!$A:$A,0))=0,"",INDEX('キャラ'!$B:$B,MATCH($B17,'キャラ'!$A:$A,0))),"")</f>
        <v>アリーシア</v>
      </c>
      <c r="D17" s="25" t="str">
        <f t="array" ref="D17">IFERROR(INDEX('キャラ'!$D:$D,MATCH($B17,'キャラ'!$A:$A,0)),"")</f>
        <v>本命</v>
      </c>
      <c r="E17" s="41" t="str">
        <f t="array" ref="E17">IFERROR(IF(INDEX('キャラ'!$G:$G,MATCH($B17,'キャラ'!$A:$A,0))=0,"",INDEX('キャラ'!$G:$G,MATCH($B17,'キャラ'!$A:$A,0))),"")</f>
        <v/>
      </c>
      <c r="F17" s="19" t="s">
        <v>97</v>
      </c>
      <c r="G17" s="25" t="str">
        <f t="array" ref="G17">IFERROR(INDEX('トピック'!$B:$B,MATCH($F17,'トピック'!$A:$A,0)),"")</f>
        <v>行動</v>
      </c>
      <c r="H17" s="49">
        <f t="array" ref="H17">IFERROR(INDEX('トピック'!$C:$C,MATCH($F17,'トピック'!$A:$A,0)),"")</f>
        <v>60</v>
      </c>
      <c r="I17" s="49" t="str">
        <f t="array" ref="I17">IFERROR(INDEX('トピック'!$D:$D,MATCH($F17,'トピック'!$A:$A,0)),"")</f>
        <v>普通</v>
      </c>
      <c r="J17" s="44" t="str">
        <f t="array" ref="J17">IFERROR(INDEX('トピック'!$E:$E,MATCH($F17,'トピック'!$A:$A,0)),"")</f>
        <v>最近ハマってること</v>
      </c>
      <c r="K17" s="36" t="s">
        <v>228</v>
      </c>
      <c r="L17" s="36" t="s">
        <v>229</v>
      </c>
      <c r="M17" s="59" t="s">
        <v>230</v>
      </c>
      <c r="N17" s="36" t="s">
        <v>231</v>
      </c>
      <c r="O17" s="25" t="str">
        <f t="shared" si="2"/>
        <v>OK</v>
      </c>
    </row>
    <row r="18" ht="48.0" customHeight="1">
      <c r="A18" s="25" t="str">
        <f t="shared" si="1"/>
        <v>C02_A3</v>
      </c>
      <c r="B18" s="19" t="s">
        <v>123</v>
      </c>
      <c r="C18" s="25" t="str">
        <f t="array" ref="C18">IFERROR(IF(INDEX('キャラ'!$B:$B,MATCH($B18,'キャラ'!$A:$A,0))=0,"",INDEX('キャラ'!$B:$B,MATCH($B18,'キャラ'!$A:$A,0))),"")</f>
        <v>アリーシア</v>
      </c>
      <c r="D18" s="25" t="str">
        <f t="array" ref="D18">IFERROR(INDEX('キャラ'!$D:$D,MATCH($B18,'キャラ'!$A:$A,0)),"")</f>
        <v>本命</v>
      </c>
      <c r="E18" s="41" t="str">
        <f t="array" ref="E18">IFERROR(IF(INDEX('キャラ'!$G:$G,MATCH($B18,'キャラ'!$A:$A,0))=0,"",INDEX('キャラ'!$G:$G,MATCH($B18,'キャラ'!$A:$A,0))),"")</f>
        <v/>
      </c>
      <c r="F18" s="19" t="s">
        <v>108</v>
      </c>
      <c r="G18" s="25" t="str">
        <f t="array" ref="G18">IFERROR(INDEX('トピック'!$B:$B,MATCH($F18,'トピック'!$A:$A,0)),"")</f>
        <v>行動</v>
      </c>
      <c r="H18" s="50">
        <f t="array" ref="H18">IFERROR(INDEX('トピック'!$C:$C,MATCH($F18,'トピック'!$A:$A,0)),"")</f>
        <v>80</v>
      </c>
      <c r="I18" s="50" t="str">
        <f t="array" ref="I18">IFERROR(INDEX('トピック'!$D:$D,MATCH($F18,'トピック'!$A:$A,0)),"")</f>
        <v>踏み込む</v>
      </c>
      <c r="J18" s="44" t="str">
        <f t="array" ref="J18">IFERROR(INDEX('トピック'!$E:$E,MATCH($F18,'トピック'!$A:$A,0)),"")</f>
        <v>ひとりの時間の過ごし方</v>
      </c>
      <c r="K18" s="36" t="s">
        <v>232</v>
      </c>
      <c r="L18" s="36" t="s">
        <v>233</v>
      </c>
      <c r="M18" s="36" t="s">
        <v>234</v>
      </c>
      <c r="N18" s="36" t="s">
        <v>235</v>
      </c>
      <c r="O18" s="25" t="str">
        <f t="shared" si="2"/>
        <v>OK</v>
      </c>
    </row>
    <row r="19" ht="48.0" customHeight="1">
      <c r="A19" s="25" t="str">
        <f t="shared" si="1"/>
        <v>C02_G1</v>
      </c>
      <c r="B19" s="19" t="s">
        <v>123</v>
      </c>
      <c r="C19" s="25" t="str">
        <f t="array" ref="C19">IFERROR(IF(INDEX('キャラ'!$B:$B,MATCH($B19,'キャラ'!$A:$A,0))=0,"",INDEX('キャラ'!$B:$B,MATCH($B19,'キャラ'!$A:$A,0))),"")</f>
        <v>アリーシア</v>
      </c>
      <c r="D19" s="25" t="str">
        <f t="array" ref="D19">IFERROR(INDEX('キャラ'!$D:$D,MATCH($B19,'キャラ'!$A:$A,0)),"")</f>
        <v>本命</v>
      </c>
      <c r="E19" s="41" t="str">
        <f t="array" ref="E19">IFERROR(IF(INDEX('キャラ'!$G:$G,MATCH($B19,'キャラ'!$A:$A,0))=0,"",INDEX('キャラ'!$G:$G,MATCH($B19,'キャラ'!$A:$A,0))),"")</f>
        <v/>
      </c>
      <c r="F19" s="19" t="s">
        <v>111</v>
      </c>
      <c r="G19" s="25" t="str">
        <f t="array" ref="G19">IFERROR(INDEX('トピック'!$B:$B,MATCH($F19,'トピック'!$A:$A,0)),"")</f>
        <v>目的</v>
      </c>
      <c r="H19" s="45">
        <f t="array" ref="H19">IFERROR(INDEX('トピック'!$C:$C,MATCH($F19,'トピック'!$A:$A,0)),"")</f>
        <v>45</v>
      </c>
      <c r="I19" s="45" t="str">
        <f t="array" ref="I19">IFERROR(INDEX('トピック'!$D:$D,MATCH($F19,'トピック'!$A:$A,0)),"")</f>
        <v>軽い</v>
      </c>
      <c r="J19" s="44" t="str">
        <f t="array" ref="J19">IFERROR(INDEX('トピック'!$E:$E,MATCH($F19,'トピック'!$A:$A,0)),"")</f>
        <v>なんでこのアプリ入れたん？</v>
      </c>
      <c r="K19" s="36" t="s">
        <v>236</v>
      </c>
      <c r="L19" s="36" t="s">
        <v>237</v>
      </c>
      <c r="M19" s="36" t="s">
        <v>238</v>
      </c>
      <c r="N19" s="36" t="s">
        <v>239</v>
      </c>
      <c r="O19" s="25" t="str">
        <f t="shared" si="2"/>
        <v>OK</v>
      </c>
    </row>
    <row r="20" ht="48.0" customHeight="1">
      <c r="A20" s="25" t="str">
        <f t="shared" si="1"/>
        <v>C02_G2</v>
      </c>
      <c r="B20" s="19" t="s">
        <v>123</v>
      </c>
      <c r="C20" s="25" t="str">
        <f t="array" ref="C20">IFERROR(IF(INDEX('キャラ'!$B:$B,MATCH($B20,'キャラ'!$A:$A,0))=0,"",INDEX('キャラ'!$B:$B,MATCH($B20,'キャラ'!$A:$A,0))),"")</f>
        <v>アリーシア</v>
      </c>
      <c r="D20" s="25" t="str">
        <f t="array" ref="D20">IFERROR(INDEX('キャラ'!$D:$D,MATCH($B20,'キャラ'!$A:$A,0)),"")</f>
        <v>本命</v>
      </c>
      <c r="E20" s="41" t="str">
        <f t="array" ref="E20">IFERROR(IF(INDEX('キャラ'!$G:$G,MATCH($B20,'キャラ'!$A:$A,0))=0,"",INDEX('キャラ'!$G:$G,MATCH($B20,'キャラ'!$A:$A,0))),"")</f>
        <v/>
      </c>
      <c r="F20" s="19" t="s">
        <v>115</v>
      </c>
      <c r="G20" s="25" t="str">
        <f t="array" ref="G20">IFERROR(INDEX('トピック'!$B:$B,MATCH($F20,'トピック'!$A:$A,0)),"")</f>
        <v>目的</v>
      </c>
      <c r="H20" s="49">
        <f t="array" ref="H20">IFERROR(INDEX('トピック'!$C:$C,MATCH($F20,'トピック'!$A:$A,0)),"")</f>
        <v>60</v>
      </c>
      <c r="I20" s="49" t="str">
        <f t="array" ref="I20">IFERROR(INDEX('トピック'!$D:$D,MATCH($F20,'トピック'!$A:$A,0)),"")</f>
        <v>普通</v>
      </c>
      <c r="J20" s="44" t="str">
        <f t="array" ref="J20">IFERROR(INDEX('トピック'!$E:$E,MATCH($F20,'トピック'!$A:$A,0)),"")</f>
        <v>どういう人がタイプ？</v>
      </c>
      <c r="K20" s="36" t="s">
        <v>240</v>
      </c>
      <c r="L20" s="36" t="s">
        <v>241</v>
      </c>
      <c r="M20" s="36" t="s">
        <v>242</v>
      </c>
      <c r="N20" s="36" t="s">
        <v>243</v>
      </c>
      <c r="O20" s="25" t="str">
        <f t="shared" si="2"/>
        <v>OK</v>
      </c>
    </row>
    <row r="21" ht="48.0" customHeight="1">
      <c r="A21" s="25" t="str">
        <f t="shared" si="1"/>
        <v>C02_G3</v>
      </c>
      <c r="B21" s="19" t="s">
        <v>123</v>
      </c>
      <c r="C21" s="25" t="str">
        <f t="array" ref="C21">IFERROR(IF(INDEX('キャラ'!$B:$B,MATCH($B21,'キャラ'!$A:$A,0))=0,"",INDEX('キャラ'!$B:$B,MATCH($B21,'キャラ'!$A:$A,0))),"")</f>
        <v>アリーシア</v>
      </c>
      <c r="D21" s="25" t="str">
        <f t="array" ref="D21">IFERROR(INDEX('キャラ'!$D:$D,MATCH($B21,'キャラ'!$A:$A,0)),"")</f>
        <v>本命</v>
      </c>
      <c r="E21" s="41" t="str">
        <f t="array" ref="E21">IFERROR(IF(INDEX('キャラ'!$G:$G,MATCH($B21,'キャラ'!$A:$A,0))=0,"",INDEX('キャラ'!$G:$G,MATCH($B21,'キャラ'!$A:$A,0))),"")</f>
        <v/>
      </c>
      <c r="F21" s="19" t="s">
        <v>118</v>
      </c>
      <c r="G21" s="25" t="str">
        <f t="array" ref="G21">IFERROR(INDEX('トピック'!$B:$B,MATCH($F21,'トピック'!$A:$A,0)),"")</f>
        <v>目的</v>
      </c>
      <c r="H21" s="50">
        <f t="array" ref="H21">IFERROR(INDEX('トピック'!$C:$C,MATCH($F21,'トピック'!$A:$A,0)),"")</f>
        <v>80</v>
      </c>
      <c r="I21" s="50" t="str">
        <f t="array" ref="I21">IFERROR(INDEX('トピック'!$D:$D,MATCH($F21,'トピック'!$A:$A,0)),"")</f>
        <v>踏み込む</v>
      </c>
      <c r="J21" s="44" t="str">
        <f t="array" ref="J21">IFERROR(INDEX('トピック'!$E:$E,MATCH($F21,'トピック'!$A:$A,0)),"")</f>
        <v>この先どうなりたい？</v>
      </c>
      <c r="K21" s="36" t="s">
        <v>244</v>
      </c>
      <c r="L21" s="36" t="s">
        <v>245</v>
      </c>
      <c r="M21" s="36" t="s">
        <v>246</v>
      </c>
      <c r="N21" s="36" t="s">
        <v>247</v>
      </c>
      <c r="O21" s="25" t="str">
        <f t="shared" si="2"/>
        <v>OK</v>
      </c>
    </row>
    <row r="22" ht="48.0" customHeight="1">
      <c r="A22" s="25" t="str">
        <f t="shared" si="1"/>
        <v>C02_W1</v>
      </c>
      <c r="B22" s="19" t="s">
        <v>123</v>
      </c>
      <c r="C22" s="25" t="str">
        <f t="array" ref="C22">IFERROR(IF(INDEX('キャラ'!$B:$B,MATCH($B22,'キャラ'!$A:$A,0))=0,"",INDEX('キャラ'!$B:$B,MATCH($B22,'キャラ'!$A:$A,0))),"")</f>
        <v>アリーシア</v>
      </c>
      <c r="D22" s="25" t="str">
        <f t="array" ref="D22">IFERROR(INDEX('キャラ'!$D:$D,MATCH($B22,'キャラ'!$A:$A,0)),"")</f>
        <v>本命</v>
      </c>
      <c r="E22" s="41" t="str">
        <f t="array" ref="E22">IFERROR(IF(INDEX('キャラ'!$G:$G,MATCH($B22,'キャラ'!$A:$A,0))=0,"",INDEX('キャラ'!$G:$G,MATCH($B22,'キャラ'!$A:$A,0))),"")</f>
        <v/>
      </c>
      <c r="F22" s="19" t="s">
        <v>122</v>
      </c>
      <c r="G22" s="25" t="str">
        <f t="array" ref="G22">IFERROR(INDEX('トピック'!$B:$B,MATCH($F22,'トピック'!$A:$A,0)),"")</f>
        <v>弱音</v>
      </c>
      <c r="H22" s="19" t="str">
        <f t="array" ref="H22">IFERROR(INDEX('トピック'!$C:$C,MATCH($F22,'トピック'!$A:$A,0)),"")</f>
        <v>–</v>
      </c>
      <c r="I22" s="19" t="str">
        <f t="array" ref="I22">IFERROR(INDEX('トピック'!$D:$D,MATCH($F22,'トピック'!$A:$A,0)),"")</f>
        <v>（軸カード）</v>
      </c>
      <c r="J22" s="44" t="str">
        <f t="array" ref="J22">IFERROR(INDEX('トピック'!$E:$E,MATCH($F22,'トピック'!$A:$A,0)),"")</f>
        <v>（相手から切り出す）</v>
      </c>
      <c r="K22" s="36"/>
      <c r="L22" s="36" t="s">
        <v>248</v>
      </c>
      <c r="M22" s="36"/>
      <c r="N22" s="36"/>
      <c r="O22" s="25" t="str">
        <f t="shared" si="2"/>
        <v>未完</v>
      </c>
    </row>
    <row r="23" ht="48.0" customHeight="1">
      <c r="A23" s="54" t="str">
        <f t="shared" si="1"/>
        <v>C02_W2</v>
      </c>
      <c r="B23" s="55" t="s">
        <v>123</v>
      </c>
      <c r="C23" s="54" t="str">
        <f t="array" ref="C23">IFERROR(IF(INDEX('キャラ'!$B:$B,MATCH($B23,'キャラ'!$A:$A,0))=0,"",INDEX('キャラ'!$B:$B,MATCH($B23,'キャラ'!$A:$A,0))),"")</f>
        <v>アリーシア</v>
      </c>
      <c r="D23" s="54" t="str">
        <f t="array" ref="D23">IFERROR(INDEX('キャラ'!$D:$D,MATCH($B23,'キャラ'!$A:$A,0)),"")</f>
        <v>本命</v>
      </c>
      <c r="E23" s="56" t="str">
        <f t="array" ref="E23">IFERROR(IF(INDEX('キャラ'!$G:$G,MATCH($B23,'キャラ'!$A:$A,0))=0,"",INDEX('キャラ'!$G:$G,MATCH($B23,'キャラ'!$A:$A,0))),"")</f>
        <v/>
      </c>
      <c r="F23" s="55" t="s">
        <v>131</v>
      </c>
      <c r="G23" s="54" t="str">
        <f t="array" ref="G23">IFERROR(INDEX('トピック'!$B:$B,MATCH($F23,'トピック'!$A:$A,0)),"")</f>
        <v>弱音</v>
      </c>
      <c r="H23" s="55" t="str">
        <f t="array" ref="H23">IFERROR(INDEX('トピック'!$C:$C,MATCH($F23,'トピック'!$A:$A,0)),"")</f>
        <v>–</v>
      </c>
      <c r="I23" s="55" t="str">
        <f t="array" ref="I23">IFERROR(INDEX('トピック'!$D:$D,MATCH($F23,'トピック'!$A:$A,0)),"")</f>
        <v>（核心カード）</v>
      </c>
      <c r="J23" s="57" t="str">
        <f t="array" ref="J23">IFERROR(INDEX('トピック'!$E:$E,MATCH($F23,'トピック'!$A:$A,0)),"")</f>
        <v>（相手から切り出す・核心）</v>
      </c>
      <c r="K23" s="60"/>
      <c r="L23" s="60"/>
      <c r="M23" s="60"/>
      <c r="N23" s="60"/>
      <c r="O23" s="54" t="str">
        <f t="shared" si="2"/>
        <v>未完</v>
      </c>
    </row>
    <row r="24" ht="48.0" customHeight="1">
      <c r="A24" s="25" t="str">
        <f t="shared" si="1"/>
        <v>C03_P1</v>
      </c>
      <c r="B24" s="19" t="s">
        <v>151</v>
      </c>
      <c r="C24" s="25" t="str">
        <f t="array" ref="C24">IFERROR(IF(INDEX('キャラ'!$B:$B,MATCH($B24,'キャラ'!$A:$A,0))=0,"",INDEX('キャラ'!$B:$B,MATCH($B24,'キャラ'!$A:$A,0))),"")</f>
        <v>ミカ</v>
      </c>
      <c r="D24" s="25" t="str">
        <f t="array" ref="D24">IFERROR(INDEX('キャラ'!$D:$D,MATCH($B24,'キャラ'!$A:$A,0)),"")</f>
        <v>本命</v>
      </c>
      <c r="E24" s="41" t="str">
        <f t="array" ref="E24">IFERROR(IF(INDEX('キャラ'!$G:$G,MATCH($B24,'キャラ'!$A:$A,0))=0,"",INDEX('キャラ'!$G:$G,MATCH($B24,'キャラ'!$A:$A,0))),"")</f>
        <v/>
      </c>
      <c r="F24" s="19" t="s">
        <v>19</v>
      </c>
      <c r="G24" s="25" t="str">
        <f t="array" ref="G24">IFERROR(INDEX('トピック'!$B:$B,MATCH($F24,'トピック'!$A:$A,0)),"")</f>
        <v>場所</v>
      </c>
      <c r="H24" s="45">
        <f t="array" ref="H24">IFERROR(INDEX('トピック'!$C:$C,MATCH($F24,'トピック'!$A:$A,0)),"")</f>
        <v>45</v>
      </c>
      <c r="I24" s="45" t="str">
        <f t="array" ref="I24">IFERROR(INDEX('トピック'!$D:$D,MATCH($F24,'トピック'!$A:$A,0)),"")</f>
        <v>軽い</v>
      </c>
      <c r="J24" s="44" t="str">
        <f t="array" ref="J24">IFERROR(INDEX('トピック'!$E:$E,MATCH($F24,'トピック'!$A:$A,0)),"")</f>
        <v>最近いった場所</v>
      </c>
      <c r="K24" s="36"/>
      <c r="L24" s="36"/>
      <c r="M24" s="36"/>
      <c r="N24" s="36"/>
      <c r="O24" s="25" t="str">
        <f t="shared" si="2"/>
        <v>未完</v>
      </c>
    </row>
    <row r="25" ht="48.0" customHeight="1">
      <c r="A25" s="25" t="str">
        <f t="shared" si="1"/>
        <v>C03_P2</v>
      </c>
      <c r="B25" s="19" t="s">
        <v>151</v>
      </c>
      <c r="C25" s="25" t="str">
        <f t="array" ref="C25">IFERROR(IF(INDEX('キャラ'!$B:$B,MATCH($B25,'キャラ'!$A:$A,0))=0,"",INDEX('キャラ'!$B:$B,MATCH($B25,'キャラ'!$A:$A,0))),"")</f>
        <v>ミカ</v>
      </c>
      <c r="D25" s="25" t="str">
        <f t="array" ref="D25">IFERROR(INDEX('キャラ'!$D:$D,MATCH($B25,'キャラ'!$A:$A,0)),"")</f>
        <v>本命</v>
      </c>
      <c r="E25" s="41" t="str">
        <f t="array" ref="E25">IFERROR(IF(INDEX('キャラ'!$G:$G,MATCH($B25,'キャラ'!$A:$A,0))=0,"",INDEX('キャラ'!$G:$G,MATCH($B25,'キャラ'!$A:$A,0))),"")</f>
        <v/>
      </c>
      <c r="F25" s="19" t="s">
        <v>51</v>
      </c>
      <c r="G25" s="25" t="str">
        <f t="array" ref="G25">IFERROR(INDEX('トピック'!$B:$B,MATCH($F25,'トピック'!$A:$A,0)),"")</f>
        <v>場所</v>
      </c>
      <c r="H25" s="49">
        <f t="array" ref="H25">IFERROR(INDEX('トピック'!$C:$C,MATCH($F25,'トピック'!$A:$A,0)),"")</f>
        <v>60</v>
      </c>
      <c r="I25" s="49" t="str">
        <f t="array" ref="I25">IFERROR(INDEX('トピック'!$D:$D,MATCH($F25,'トピック'!$A:$A,0)),"")</f>
        <v>普通</v>
      </c>
      <c r="J25" s="44" t="str">
        <f t="array" ref="J25">IFERROR(INDEX('トピック'!$E:$E,MATCH($F25,'トピック'!$A:$A,0)),"")</f>
        <v>行ってみたい場所</v>
      </c>
      <c r="K25" s="36"/>
      <c r="L25" s="36"/>
      <c r="M25" s="36"/>
      <c r="N25" s="36"/>
      <c r="O25" s="25" t="str">
        <f t="shared" si="2"/>
        <v>未完</v>
      </c>
    </row>
    <row r="26" ht="48.0" customHeight="1">
      <c r="A26" s="25" t="str">
        <f t="shared" si="1"/>
        <v>C03_P3</v>
      </c>
      <c r="B26" s="19" t="s">
        <v>151</v>
      </c>
      <c r="C26" s="25" t="str">
        <f t="array" ref="C26">IFERROR(IF(INDEX('キャラ'!$B:$B,MATCH($B26,'キャラ'!$A:$A,0))=0,"",INDEX('キャラ'!$B:$B,MATCH($B26,'キャラ'!$A:$A,0))),"")</f>
        <v>ミカ</v>
      </c>
      <c r="D26" s="25" t="str">
        <f t="array" ref="D26">IFERROR(INDEX('キャラ'!$D:$D,MATCH($B26,'キャラ'!$A:$A,0)),"")</f>
        <v>本命</v>
      </c>
      <c r="E26" s="41" t="str">
        <f t="array" ref="E26">IFERROR(IF(INDEX('キャラ'!$G:$G,MATCH($B26,'キャラ'!$A:$A,0))=0,"",INDEX('キャラ'!$G:$G,MATCH($B26,'キャラ'!$A:$A,0))),"")</f>
        <v/>
      </c>
      <c r="F26" s="19" t="s">
        <v>71</v>
      </c>
      <c r="G26" s="25" t="str">
        <f t="array" ref="G26">IFERROR(INDEX('トピック'!$B:$B,MATCH($F26,'トピック'!$A:$A,0)),"")</f>
        <v>場所</v>
      </c>
      <c r="H26" s="50">
        <f t="array" ref="H26">IFERROR(INDEX('トピック'!$C:$C,MATCH($F26,'トピック'!$A:$A,0)),"")</f>
        <v>80</v>
      </c>
      <c r="I26" s="50" t="str">
        <f t="array" ref="I26">IFERROR(INDEX('トピック'!$D:$D,MATCH($F26,'トピック'!$A:$A,0)),"")</f>
        <v>踏み込む</v>
      </c>
      <c r="J26" s="44" t="str">
        <f t="array" ref="J26">IFERROR(INDEX('トピック'!$E:$E,MATCH($F26,'トピック'!$A:$A,0)),"")</f>
        <v>出身地</v>
      </c>
      <c r="K26" s="36"/>
      <c r="L26" s="36"/>
      <c r="M26" s="36"/>
      <c r="N26" s="36"/>
      <c r="O26" s="25" t="str">
        <f t="shared" si="2"/>
        <v>未完</v>
      </c>
    </row>
    <row r="27" ht="48.0" customHeight="1">
      <c r="A27" s="25" t="str">
        <f t="shared" si="1"/>
        <v>C03_A1</v>
      </c>
      <c r="B27" s="19" t="s">
        <v>151</v>
      </c>
      <c r="C27" s="25" t="str">
        <f t="array" ref="C27">IFERROR(IF(INDEX('キャラ'!$B:$B,MATCH($B27,'キャラ'!$A:$A,0))=0,"",INDEX('キャラ'!$B:$B,MATCH($B27,'キャラ'!$A:$A,0))),"")</f>
        <v>ミカ</v>
      </c>
      <c r="D27" s="25" t="str">
        <f t="array" ref="D27">IFERROR(INDEX('キャラ'!$D:$D,MATCH($B27,'キャラ'!$A:$A,0)),"")</f>
        <v>本命</v>
      </c>
      <c r="E27" s="41" t="str">
        <f t="array" ref="E27">IFERROR(IF(INDEX('キャラ'!$G:$G,MATCH($B27,'キャラ'!$A:$A,0))=0,"",INDEX('キャラ'!$G:$G,MATCH($B27,'キャラ'!$A:$A,0))),"")</f>
        <v/>
      </c>
      <c r="F27" s="19" t="s">
        <v>89</v>
      </c>
      <c r="G27" s="25" t="str">
        <f t="array" ref="G27">IFERROR(INDEX('トピック'!$B:$B,MATCH($F27,'トピック'!$A:$A,0)),"")</f>
        <v>行動</v>
      </c>
      <c r="H27" s="45">
        <f t="array" ref="H27">IFERROR(INDEX('トピック'!$C:$C,MATCH($F27,'トピック'!$A:$A,0)),"")</f>
        <v>45</v>
      </c>
      <c r="I27" s="45" t="str">
        <f t="array" ref="I27">IFERROR(INDEX('トピック'!$D:$D,MATCH($F27,'トピック'!$A:$A,0)),"")</f>
        <v>軽い</v>
      </c>
      <c r="J27" s="44" t="str">
        <f t="array" ref="J27">IFERROR(INDEX('トピック'!$E:$E,MATCH($F27,'トピック'!$A:$A,0)),"")</f>
        <v>休みの日、何してる？</v>
      </c>
      <c r="K27" s="36"/>
      <c r="L27" s="36"/>
      <c r="M27" s="36"/>
      <c r="N27" s="36"/>
      <c r="O27" s="25" t="str">
        <f t="shared" si="2"/>
        <v>未完</v>
      </c>
    </row>
    <row r="28" ht="48.0" customHeight="1">
      <c r="A28" s="25" t="str">
        <f t="shared" si="1"/>
        <v>C03_A2</v>
      </c>
      <c r="B28" s="19" t="s">
        <v>151</v>
      </c>
      <c r="C28" s="25" t="str">
        <f t="array" ref="C28">IFERROR(IF(INDEX('キャラ'!$B:$B,MATCH($B28,'キャラ'!$A:$A,0))=0,"",INDEX('キャラ'!$B:$B,MATCH($B28,'キャラ'!$A:$A,0))),"")</f>
        <v>ミカ</v>
      </c>
      <c r="D28" s="25" t="str">
        <f t="array" ref="D28">IFERROR(INDEX('キャラ'!$D:$D,MATCH($B28,'キャラ'!$A:$A,0)),"")</f>
        <v>本命</v>
      </c>
      <c r="E28" s="41" t="str">
        <f t="array" ref="E28">IFERROR(IF(INDEX('キャラ'!$G:$G,MATCH($B28,'キャラ'!$A:$A,0))=0,"",INDEX('キャラ'!$G:$G,MATCH($B28,'キャラ'!$A:$A,0))),"")</f>
        <v/>
      </c>
      <c r="F28" s="19" t="s">
        <v>97</v>
      </c>
      <c r="G28" s="25" t="str">
        <f t="array" ref="G28">IFERROR(INDEX('トピック'!$B:$B,MATCH($F28,'トピック'!$A:$A,0)),"")</f>
        <v>行動</v>
      </c>
      <c r="H28" s="49">
        <f t="array" ref="H28">IFERROR(INDEX('トピック'!$C:$C,MATCH($F28,'トピック'!$A:$A,0)),"")</f>
        <v>60</v>
      </c>
      <c r="I28" s="49" t="str">
        <f t="array" ref="I28">IFERROR(INDEX('トピック'!$D:$D,MATCH($F28,'トピック'!$A:$A,0)),"")</f>
        <v>普通</v>
      </c>
      <c r="J28" s="44" t="str">
        <f t="array" ref="J28">IFERROR(INDEX('トピック'!$E:$E,MATCH($F28,'トピック'!$A:$A,0)),"")</f>
        <v>最近ハマってること</v>
      </c>
      <c r="K28" s="36"/>
      <c r="L28" s="36"/>
      <c r="M28" s="36"/>
      <c r="N28" s="36"/>
      <c r="O28" s="25" t="str">
        <f t="shared" si="2"/>
        <v>未完</v>
      </c>
    </row>
    <row r="29" ht="48.0" customHeight="1">
      <c r="A29" s="25" t="str">
        <f t="shared" si="1"/>
        <v>C03_A3</v>
      </c>
      <c r="B29" s="19" t="s">
        <v>151</v>
      </c>
      <c r="C29" s="25" t="str">
        <f t="array" ref="C29">IFERROR(IF(INDEX('キャラ'!$B:$B,MATCH($B29,'キャラ'!$A:$A,0))=0,"",INDEX('キャラ'!$B:$B,MATCH($B29,'キャラ'!$A:$A,0))),"")</f>
        <v>ミカ</v>
      </c>
      <c r="D29" s="25" t="str">
        <f t="array" ref="D29">IFERROR(INDEX('キャラ'!$D:$D,MATCH($B29,'キャラ'!$A:$A,0)),"")</f>
        <v>本命</v>
      </c>
      <c r="E29" s="41" t="str">
        <f t="array" ref="E29">IFERROR(IF(INDEX('キャラ'!$G:$G,MATCH($B29,'キャラ'!$A:$A,0))=0,"",INDEX('キャラ'!$G:$G,MATCH($B29,'キャラ'!$A:$A,0))),"")</f>
        <v/>
      </c>
      <c r="F29" s="19" t="s">
        <v>108</v>
      </c>
      <c r="G29" s="25" t="str">
        <f t="array" ref="G29">IFERROR(INDEX('トピック'!$B:$B,MATCH($F29,'トピック'!$A:$A,0)),"")</f>
        <v>行動</v>
      </c>
      <c r="H29" s="50">
        <f t="array" ref="H29">IFERROR(INDEX('トピック'!$C:$C,MATCH($F29,'トピック'!$A:$A,0)),"")</f>
        <v>80</v>
      </c>
      <c r="I29" s="50" t="str">
        <f t="array" ref="I29">IFERROR(INDEX('トピック'!$D:$D,MATCH($F29,'トピック'!$A:$A,0)),"")</f>
        <v>踏み込む</v>
      </c>
      <c r="J29" s="44" t="str">
        <f t="array" ref="J29">IFERROR(INDEX('トピック'!$E:$E,MATCH($F29,'トピック'!$A:$A,0)),"")</f>
        <v>ひとりの時間の過ごし方</v>
      </c>
      <c r="K29" s="36"/>
      <c r="L29" s="36"/>
      <c r="M29" s="36"/>
      <c r="N29" s="36"/>
      <c r="O29" s="25" t="str">
        <f t="shared" si="2"/>
        <v>未完</v>
      </c>
    </row>
    <row r="30" ht="48.0" customHeight="1">
      <c r="A30" s="25" t="str">
        <f t="shared" si="1"/>
        <v>C03_G1</v>
      </c>
      <c r="B30" s="19" t="s">
        <v>151</v>
      </c>
      <c r="C30" s="25" t="str">
        <f t="array" ref="C30">IFERROR(IF(INDEX('キャラ'!$B:$B,MATCH($B30,'キャラ'!$A:$A,0))=0,"",INDEX('キャラ'!$B:$B,MATCH($B30,'キャラ'!$A:$A,0))),"")</f>
        <v>ミカ</v>
      </c>
      <c r="D30" s="25" t="str">
        <f t="array" ref="D30">IFERROR(INDEX('キャラ'!$D:$D,MATCH($B30,'キャラ'!$A:$A,0)),"")</f>
        <v>本命</v>
      </c>
      <c r="E30" s="41" t="str">
        <f t="array" ref="E30">IFERROR(IF(INDEX('キャラ'!$G:$G,MATCH($B30,'キャラ'!$A:$A,0))=0,"",INDEX('キャラ'!$G:$G,MATCH($B30,'キャラ'!$A:$A,0))),"")</f>
        <v/>
      </c>
      <c r="F30" s="19" t="s">
        <v>111</v>
      </c>
      <c r="G30" s="25" t="str">
        <f t="array" ref="G30">IFERROR(INDEX('トピック'!$B:$B,MATCH($F30,'トピック'!$A:$A,0)),"")</f>
        <v>目的</v>
      </c>
      <c r="H30" s="45">
        <f t="array" ref="H30">IFERROR(INDEX('トピック'!$C:$C,MATCH($F30,'トピック'!$A:$A,0)),"")</f>
        <v>45</v>
      </c>
      <c r="I30" s="45" t="str">
        <f t="array" ref="I30">IFERROR(INDEX('トピック'!$D:$D,MATCH($F30,'トピック'!$A:$A,0)),"")</f>
        <v>軽い</v>
      </c>
      <c r="J30" s="44" t="str">
        <f t="array" ref="J30">IFERROR(INDEX('トピック'!$E:$E,MATCH($F30,'トピック'!$A:$A,0)),"")</f>
        <v>なんでこのアプリ入れたん？</v>
      </c>
      <c r="K30" s="36"/>
      <c r="L30" s="36"/>
      <c r="M30" s="36"/>
      <c r="N30" s="36"/>
      <c r="O30" s="25" t="str">
        <f t="shared" si="2"/>
        <v>未完</v>
      </c>
    </row>
    <row r="31" ht="48.0" customHeight="1">
      <c r="A31" s="25" t="str">
        <f t="shared" si="1"/>
        <v>C03_G2</v>
      </c>
      <c r="B31" s="19" t="s">
        <v>151</v>
      </c>
      <c r="C31" s="25" t="str">
        <f t="array" ref="C31">IFERROR(IF(INDEX('キャラ'!$B:$B,MATCH($B31,'キャラ'!$A:$A,0))=0,"",INDEX('キャラ'!$B:$B,MATCH($B31,'キャラ'!$A:$A,0))),"")</f>
        <v>ミカ</v>
      </c>
      <c r="D31" s="25" t="str">
        <f t="array" ref="D31">IFERROR(INDEX('キャラ'!$D:$D,MATCH($B31,'キャラ'!$A:$A,0)),"")</f>
        <v>本命</v>
      </c>
      <c r="E31" s="41" t="str">
        <f t="array" ref="E31">IFERROR(IF(INDEX('キャラ'!$G:$G,MATCH($B31,'キャラ'!$A:$A,0))=0,"",INDEX('キャラ'!$G:$G,MATCH($B31,'キャラ'!$A:$A,0))),"")</f>
        <v/>
      </c>
      <c r="F31" s="19" t="s">
        <v>115</v>
      </c>
      <c r="G31" s="25" t="str">
        <f t="array" ref="G31">IFERROR(INDEX('トピック'!$B:$B,MATCH($F31,'トピック'!$A:$A,0)),"")</f>
        <v>目的</v>
      </c>
      <c r="H31" s="49">
        <f t="array" ref="H31">IFERROR(INDEX('トピック'!$C:$C,MATCH($F31,'トピック'!$A:$A,0)),"")</f>
        <v>60</v>
      </c>
      <c r="I31" s="49" t="str">
        <f t="array" ref="I31">IFERROR(INDEX('トピック'!$D:$D,MATCH($F31,'トピック'!$A:$A,0)),"")</f>
        <v>普通</v>
      </c>
      <c r="J31" s="44" t="str">
        <f t="array" ref="J31">IFERROR(INDEX('トピック'!$E:$E,MATCH($F31,'トピック'!$A:$A,0)),"")</f>
        <v>どういう人がタイプ？</v>
      </c>
      <c r="K31" s="36"/>
      <c r="L31" s="36"/>
      <c r="M31" s="36"/>
      <c r="N31" s="36"/>
      <c r="O31" s="25" t="str">
        <f t="shared" si="2"/>
        <v>未完</v>
      </c>
    </row>
    <row r="32" ht="48.0" customHeight="1">
      <c r="A32" s="25" t="str">
        <f t="shared" si="1"/>
        <v>C03_G3</v>
      </c>
      <c r="B32" s="19" t="s">
        <v>151</v>
      </c>
      <c r="C32" s="25" t="str">
        <f t="array" ref="C32">IFERROR(IF(INDEX('キャラ'!$B:$B,MATCH($B32,'キャラ'!$A:$A,0))=0,"",INDEX('キャラ'!$B:$B,MATCH($B32,'キャラ'!$A:$A,0))),"")</f>
        <v>ミカ</v>
      </c>
      <c r="D32" s="25" t="str">
        <f t="array" ref="D32">IFERROR(INDEX('キャラ'!$D:$D,MATCH($B32,'キャラ'!$A:$A,0)),"")</f>
        <v>本命</v>
      </c>
      <c r="E32" s="41" t="str">
        <f t="array" ref="E32">IFERROR(IF(INDEX('キャラ'!$G:$G,MATCH($B32,'キャラ'!$A:$A,0))=0,"",INDEX('キャラ'!$G:$G,MATCH($B32,'キャラ'!$A:$A,0))),"")</f>
        <v/>
      </c>
      <c r="F32" s="19" t="s">
        <v>118</v>
      </c>
      <c r="G32" s="25" t="str">
        <f t="array" ref="G32">IFERROR(INDEX('トピック'!$B:$B,MATCH($F32,'トピック'!$A:$A,0)),"")</f>
        <v>目的</v>
      </c>
      <c r="H32" s="50">
        <f t="array" ref="H32">IFERROR(INDEX('トピック'!$C:$C,MATCH($F32,'トピック'!$A:$A,0)),"")</f>
        <v>80</v>
      </c>
      <c r="I32" s="50" t="str">
        <f t="array" ref="I32">IFERROR(INDEX('トピック'!$D:$D,MATCH($F32,'トピック'!$A:$A,0)),"")</f>
        <v>踏み込む</v>
      </c>
      <c r="J32" s="44" t="str">
        <f t="array" ref="J32">IFERROR(INDEX('トピック'!$E:$E,MATCH($F32,'トピック'!$A:$A,0)),"")</f>
        <v>この先どうなりたい？</v>
      </c>
      <c r="K32" s="36"/>
      <c r="L32" s="36"/>
      <c r="M32" s="36"/>
      <c r="N32" s="36"/>
      <c r="O32" s="25" t="str">
        <f t="shared" si="2"/>
        <v>未完</v>
      </c>
    </row>
    <row r="33" ht="48.0" customHeight="1">
      <c r="A33" s="25" t="str">
        <f t="shared" si="1"/>
        <v>C03_W1</v>
      </c>
      <c r="B33" s="19" t="s">
        <v>151</v>
      </c>
      <c r="C33" s="25" t="str">
        <f t="array" ref="C33">IFERROR(IF(INDEX('キャラ'!$B:$B,MATCH($B33,'キャラ'!$A:$A,0))=0,"",INDEX('キャラ'!$B:$B,MATCH($B33,'キャラ'!$A:$A,0))),"")</f>
        <v>ミカ</v>
      </c>
      <c r="D33" s="25" t="str">
        <f t="array" ref="D33">IFERROR(INDEX('キャラ'!$D:$D,MATCH($B33,'キャラ'!$A:$A,0)),"")</f>
        <v>本命</v>
      </c>
      <c r="E33" s="41" t="str">
        <f t="array" ref="E33">IFERROR(IF(INDEX('キャラ'!$G:$G,MATCH($B33,'キャラ'!$A:$A,0))=0,"",INDEX('キャラ'!$G:$G,MATCH($B33,'キャラ'!$A:$A,0))),"")</f>
        <v/>
      </c>
      <c r="F33" s="19" t="s">
        <v>122</v>
      </c>
      <c r="G33" s="25" t="str">
        <f t="array" ref="G33">IFERROR(INDEX('トピック'!$B:$B,MATCH($F33,'トピック'!$A:$A,0)),"")</f>
        <v>弱音</v>
      </c>
      <c r="H33" s="19" t="str">
        <f t="array" ref="H33">IFERROR(INDEX('トピック'!$C:$C,MATCH($F33,'トピック'!$A:$A,0)),"")</f>
        <v>–</v>
      </c>
      <c r="I33" s="19" t="str">
        <f t="array" ref="I33">IFERROR(INDEX('トピック'!$D:$D,MATCH($F33,'トピック'!$A:$A,0)),"")</f>
        <v>（軸カード）</v>
      </c>
      <c r="J33" s="44" t="str">
        <f t="array" ref="J33">IFERROR(INDEX('トピック'!$E:$E,MATCH($F33,'トピック'!$A:$A,0)),"")</f>
        <v>（相手から切り出す）</v>
      </c>
      <c r="K33" s="36"/>
      <c r="L33" s="36"/>
      <c r="M33" s="36"/>
      <c r="N33" s="36"/>
      <c r="O33" s="25" t="str">
        <f t="shared" si="2"/>
        <v>未完</v>
      </c>
    </row>
    <row r="34" ht="48.0" customHeight="1">
      <c r="A34" s="25" t="str">
        <f t="shared" si="1"/>
        <v>C03_W2</v>
      </c>
      <c r="B34" s="19" t="s">
        <v>151</v>
      </c>
      <c r="C34" s="25" t="str">
        <f t="array" ref="C34">IFERROR(IF(INDEX('キャラ'!$B:$B,MATCH($B34,'キャラ'!$A:$A,0))=0,"",INDEX('キャラ'!$B:$B,MATCH($B34,'キャラ'!$A:$A,0))),"")</f>
        <v>ミカ</v>
      </c>
      <c r="D34" s="25" t="str">
        <f t="array" ref="D34">IFERROR(INDEX('キャラ'!$D:$D,MATCH($B34,'キャラ'!$A:$A,0)),"")</f>
        <v>本命</v>
      </c>
      <c r="E34" s="41" t="str">
        <f t="array" ref="E34">IFERROR(IF(INDEX('キャラ'!$G:$G,MATCH($B34,'キャラ'!$A:$A,0))=0,"",INDEX('キャラ'!$G:$G,MATCH($B34,'キャラ'!$A:$A,0))),"")</f>
        <v/>
      </c>
      <c r="F34" s="19" t="s">
        <v>131</v>
      </c>
      <c r="G34" s="25" t="str">
        <f t="array" ref="G34">IFERROR(INDEX('トピック'!$B:$B,MATCH($F34,'トピック'!$A:$A,0)),"")</f>
        <v>弱音</v>
      </c>
      <c r="H34" s="19" t="str">
        <f t="array" ref="H34">IFERROR(INDEX('トピック'!$C:$C,MATCH($F34,'トピック'!$A:$A,0)),"")</f>
        <v>–</v>
      </c>
      <c r="I34" s="19" t="str">
        <f t="array" ref="I34">IFERROR(INDEX('トピック'!$D:$D,MATCH($F34,'トピック'!$A:$A,0)),"")</f>
        <v>（核心カード）</v>
      </c>
      <c r="J34" s="44" t="str">
        <f t="array" ref="J34">IFERROR(INDEX('トピック'!$E:$E,MATCH($F34,'トピック'!$A:$A,0)),"")</f>
        <v>（相手から切り出す・核心）</v>
      </c>
      <c r="K34" s="36"/>
      <c r="L34" s="36"/>
      <c r="M34" s="36"/>
      <c r="N34" s="36"/>
      <c r="O34" s="25" t="str">
        <f t="shared" si="2"/>
        <v>未完</v>
      </c>
    </row>
    <row r="35" ht="48.0" customHeight="1">
      <c r="A35" s="25" t="str">
        <f t="shared" si="1"/>
        <v>C04_P1</v>
      </c>
      <c r="B35" s="19" t="s">
        <v>158</v>
      </c>
      <c r="C35" s="25" t="str">
        <f t="array" ref="C35">IFERROR(IF(INDEX('キャラ'!$B:$B,MATCH($B35,'キャラ'!$A:$A,0))=0,"",INDEX('キャラ'!$B:$B,MATCH($B35,'キャラ'!$A:$A,0))),"")</f>
        <v>さきこ</v>
      </c>
      <c r="D35" s="25" t="str">
        <f t="array" ref="D35">IFERROR(INDEX('キャラ'!$D:$D,MATCH($B35,'キャラ'!$A:$A,0)),"")</f>
        <v>モブ</v>
      </c>
      <c r="E35" s="41" t="str">
        <f t="array" ref="E35">IFERROR(IF(INDEX('キャラ'!$G:$G,MATCH($B35,'キャラ'!$A:$A,0))=0,"",INDEX('キャラ'!$G:$G,MATCH($B35,'キャラ'!$A:$A,0))),"")</f>
        <v/>
      </c>
      <c r="F35" s="19" t="s">
        <v>19</v>
      </c>
      <c r="G35" s="25" t="str">
        <f t="array" ref="G35">IFERROR(INDEX('トピック'!$B:$B,MATCH($F35,'トピック'!$A:$A,0)),"")</f>
        <v>場所</v>
      </c>
      <c r="H35" s="45">
        <f t="array" ref="H35">IFERROR(INDEX('トピック'!$C:$C,MATCH($F35,'トピック'!$A:$A,0)),"")</f>
        <v>45</v>
      </c>
      <c r="I35" s="45" t="str">
        <f t="array" ref="I35">IFERROR(INDEX('トピック'!$D:$D,MATCH($F35,'トピック'!$A:$A,0)),"")</f>
        <v>軽い</v>
      </c>
      <c r="J35" s="44" t="str">
        <f t="array" ref="J35">IFERROR(INDEX('トピック'!$E:$E,MATCH($F35,'トピック'!$A:$A,0)),"")</f>
        <v>最近いった場所</v>
      </c>
      <c r="K35" s="36"/>
      <c r="L35" s="36"/>
      <c r="M35" s="36"/>
      <c r="N35" s="36"/>
      <c r="O35" s="25" t="str">
        <f t="shared" si="2"/>
        <v>未完</v>
      </c>
    </row>
    <row r="36" ht="48.0" customHeight="1">
      <c r="A36" s="25" t="str">
        <f t="shared" si="1"/>
        <v>C04_A1</v>
      </c>
      <c r="B36" s="19" t="s">
        <v>158</v>
      </c>
      <c r="C36" s="25" t="str">
        <f t="array" ref="C36">IFERROR(IF(INDEX('キャラ'!$B:$B,MATCH($B36,'キャラ'!$A:$A,0))=0,"",INDEX('キャラ'!$B:$B,MATCH($B36,'キャラ'!$A:$A,0))),"")</f>
        <v>さきこ</v>
      </c>
      <c r="D36" s="25" t="str">
        <f t="array" ref="D36">IFERROR(INDEX('キャラ'!$D:$D,MATCH($B36,'キャラ'!$A:$A,0)),"")</f>
        <v>モブ</v>
      </c>
      <c r="E36" s="41" t="str">
        <f t="array" ref="E36">IFERROR(IF(INDEX('キャラ'!$G:$G,MATCH($B36,'キャラ'!$A:$A,0))=0,"",INDEX('キャラ'!$G:$G,MATCH($B36,'キャラ'!$A:$A,0))),"")</f>
        <v/>
      </c>
      <c r="F36" s="19" t="s">
        <v>89</v>
      </c>
      <c r="G36" s="25" t="str">
        <f t="array" ref="G36">IFERROR(INDEX('トピック'!$B:$B,MATCH($F36,'トピック'!$A:$A,0)),"")</f>
        <v>行動</v>
      </c>
      <c r="H36" s="45">
        <f t="array" ref="H36">IFERROR(INDEX('トピック'!$C:$C,MATCH($F36,'トピック'!$A:$A,0)),"")</f>
        <v>45</v>
      </c>
      <c r="I36" s="45" t="str">
        <f t="array" ref="I36">IFERROR(INDEX('トピック'!$D:$D,MATCH($F36,'トピック'!$A:$A,0)),"")</f>
        <v>軽い</v>
      </c>
      <c r="J36" s="44" t="str">
        <f t="array" ref="J36">IFERROR(INDEX('トピック'!$E:$E,MATCH($F36,'トピック'!$A:$A,0)),"")</f>
        <v>休みの日、何してる？</v>
      </c>
      <c r="K36" s="36"/>
      <c r="L36" s="36"/>
      <c r="M36" s="36"/>
      <c r="N36" s="36"/>
      <c r="O36" s="25" t="str">
        <f t="shared" si="2"/>
        <v>未完</v>
      </c>
    </row>
    <row r="37" ht="48.0" customHeight="1">
      <c r="A37" s="25" t="str">
        <f t="shared" si="1"/>
        <v>C04_G1</v>
      </c>
      <c r="B37" s="19" t="s">
        <v>158</v>
      </c>
      <c r="C37" s="25" t="str">
        <f t="array" ref="C37">IFERROR(IF(INDEX('キャラ'!$B:$B,MATCH($B37,'キャラ'!$A:$A,0))=0,"",INDEX('キャラ'!$B:$B,MATCH($B37,'キャラ'!$A:$A,0))),"")</f>
        <v>さきこ</v>
      </c>
      <c r="D37" s="25" t="str">
        <f t="array" ref="D37">IFERROR(INDEX('キャラ'!$D:$D,MATCH($B37,'キャラ'!$A:$A,0)),"")</f>
        <v>モブ</v>
      </c>
      <c r="E37" s="41" t="str">
        <f t="array" ref="E37">IFERROR(IF(INDEX('キャラ'!$G:$G,MATCH($B37,'キャラ'!$A:$A,0))=0,"",INDEX('キャラ'!$G:$G,MATCH($B37,'キャラ'!$A:$A,0))),"")</f>
        <v/>
      </c>
      <c r="F37" s="19" t="s">
        <v>111</v>
      </c>
      <c r="G37" s="25" t="str">
        <f t="array" ref="G37">IFERROR(INDEX('トピック'!$B:$B,MATCH($F37,'トピック'!$A:$A,0)),"")</f>
        <v>目的</v>
      </c>
      <c r="H37" s="45">
        <f t="array" ref="H37">IFERROR(INDEX('トピック'!$C:$C,MATCH($F37,'トピック'!$A:$A,0)),"")</f>
        <v>45</v>
      </c>
      <c r="I37" s="45" t="str">
        <f t="array" ref="I37">IFERROR(INDEX('トピック'!$D:$D,MATCH($F37,'トピック'!$A:$A,0)),"")</f>
        <v>軽い</v>
      </c>
      <c r="J37" s="44" t="str">
        <f t="array" ref="J37">IFERROR(INDEX('トピック'!$E:$E,MATCH($F37,'トピック'!$A:$A,0)),"")</f>
        <v>なんでこのアプリ入れたん？</v>
      </c>
      <c r="K37" s="36"/>
      <c r="L37" s="36"/>
      <c r="M37" s="36"/>
      <c r="N37" s="36"/>
      <c r="O37" s="25" t="str">
        <f t="shared" si="2"/>
        <v>未完</v>
      </c>
    </row>
    <row r="38" ht="48.0" customHeight="1">
      <c r="A38" s="25" t="str">
        <f t="shared" si="1"/>
        <v>C05_P1</v>
      </c>
      <c r="B38" s="19" t="s">
        <v>166</v>
      </c>
      <c r="C38" s="25" t="str">
        <f t="array" ref="C38">IFERROR(IF(INDEX('キャラ'!$B:$B,MATCH($B38,'キャラ'!$A:$A,0))=0,"",INDEX('キャラ'!$B:$B,MATCH($B38,'キャラ'!$A:$A,0))),"")</f>
        <v>シャノン</v>
      </c>
      <c r="D38" s="25" t="str">
        <f t="array" ref="D38">IFERROR(INDEX('キャラ'!$D:$D,MATCH($B38,'キャラ'!$A:$A,0)),"")</f>
        <v>モブ</v>
      </c>
      <c r="E38" s="41" t="str">
        <f t="array" ref="E38">IFERROR(IF(INDEX('キャラ'!$G:$G,MATCH($B38,'キャラ'!$A:$A,0))=0,"",INDEX('キャラ'!$G:$G,MATCH($B38,'キャラ'!$A:$A,0))),"")</f>
        <v/>
      </c>
      <c r="F38" s="19" t="s">
        <v>19</v>
      </c>
      <c r="G38" s="25" t="str">
        <f t="array" ref="G38">IFERROR(INDEX('トピック'!$B:$B,MATCH($F38,'トピック'!$A:$A,0)),"")</f>
        <v>場所</v>
      </c>
      <c r="H38" s="45">
        <f t="array" ref="H38">IFERROR(INDEX('トピック'!$C:$C,MATCH($F38,'トピック'!$A:$A,0)),"")</f>
        <v>45</v>
      </c>
      <c r="I38" s="45" t="str">
        <f t="array" ref="I38">IFERROR(INDEX('トピック'!$D:$D,MATCH($F38,'トピック'!$A:$A,0)),"")</f>
        <v>軽い</v>
      </c>
      <c r="J38" s="44" t="str">
        <f t="array" ref="J38">IFERROR(INDEX('トピック'!$E:$E,MATCH($F38,'トピック'!$A:$A,0)),"")</f>
        <v>最近いった場所</v>
      </c>
      <c r="K38" s="36"/>
      <c r="L38" s="36"/>
      <c r="M38" s="36"/>
      <c r="N38" s="36"/>
      <c r="O38" s="25" t="str">
        <f t="shared" si="2"/>
        <v>未完</v>
      </c>
    </row>
    <row r="39" ht="48.0" customHeight="1">
      <c r="A39" s="25" t="str">
        <f t="shared" si="1"/>
        <v>C05_A1</v>
      </c>
      <c r="B39" s="19" t="s">
        <v>166</v>
      </c>
      <c r="C39" s="25" t="str">
        <f t="array" ref="C39">IFERROR(IF(INDEX('キャラ'!$B:$B,MATCH($B39,'キャラ'!$A:$A,0))=0,"",INDEX('キャラ'!$B:$B,MATCH($B39,'キャラ'!$A:$A,0))),"")</f>
        <v>シャノン</v>
      </c>
      <c r="D39" s="25" t="str">
        <f t="array" ref="D39">IFERROR(INDEX('キャラ'!$D:$D,MATCH($B39,'キャラ'!$A:$A,0)),"")</f>
        <v>モブ</v>
      </c>
      <c r="E39" s="41" t="str">
        <f t="array" ref="E39">IFERROR(IF(INDEX('キャラ'!$G:$G,MATCH($B39,'キャラ'!$A:$A,0))=0,"",INDEX('キャラ'!$G:$G,MATCH($B39,'キャラ'!$A:$A,0))),"")</f>
        <v/>
      </c>
      <c r="F39" s="19" t="s">
        <v>89</v>
      </c>
      <c r="G39" s="25" t="str">
        <f t="array" ref="G39">IFERROR(INDEX('トピック'!$B:$B,MATCH($F39,'トピック'!$A:$A,0)),"")</f>
        <v>行動</v>
      </c>
      <c r="H39" s="45">
        <f t="array" ref="H39">IFERROR(INDEX('トピック'!$C:$C,MATCH($F39,'トピック'!$A:$A,0)),"")</f>
        <v>45</v>
      </c>
      <c r="I39" s="45" t="str">
        <f t="array" ref="I39">IFERROR(INDEX('トピック'!$D:$D,MATCH($F39,'トピック'!$A:$A,0)),"")</f>
        <v>軽い</v>
      </c>
      <c r="J39" s="44" t="str">
        <f t="array" ref="J39">IFERROR(INDEX('トピック'!$E:$E,MATCH($F39,'トピック'!$A:$A,0)),"")</f>
        <v>休みの日、何してる？</v>
      </c>
      <c r="K39" s="36"/>
      <c r="L39" s="36"/>
      <c r="M39" s="36"/>
      <c r="N39" s="36"/>
      <c r="O39" s="25" t="str">
        <f t="shared" si="2"/>
        <v>未完</v>
      </c>
    </row>
    <row r="40" ht="48.0" customHeight="1">
      <c r="A40" s="25" t="str">
        <f t="shared" si="1"/>
        <v>C05_G1</v>
      </c>
      <c r="B40" s="19" t="s">
        <v>166</v>
      </c>
      <c r="C40" s="25" t="str">
        <f t="array" ref="C40">IFERROR(IF(INDEX('キャラ'!$B:$B,MATCH($B40,'キャラ'!$A:$A,0))=0,"",INDEX('キャラ'!$B:$B,MATCH($B40,'キャラ'!$A:$A,0))),"")</f>
        <v>シャノン</v>
      </c>
      <c r="D40" s="25" t="str">
        <f t="array" ref="D40">IFERROR(INDEX('キャラ'!$D:$D,MATCH($B40,'キャラ'!$A:$A,0)),"")</f>
        <v>モブ</v>
      </c>
      <c r="E40" s="41" t="str">
        <f t="array" ref="E40">IFERROR(IF(INDEX('キャラ'!$G:$G,MATCH($B40,'キャラ'!$A:$A,0))=0,"",INDEX('キャラ'!$G:$G,MATCH($B40,'キャラ'!$A:$A,0))),"")</f>
        <v/>
      </c>
      <c r="F40" s="19" t="s">
        <v>111</v>
      </c>
      <c r="G40" s="25" t="str">
        <f t="array" ref="G40">IFERROR(INDEX('トピック'!$B:$B,MATCH($F40,'トピック'!$A:$A,0)),"")</f>
        <v>目的</v>
      </c>
      <c r="H40" s="45">
        <f t="array" ref="H40">IFERROR(INDEX('トピック'!$C:$C,MATCH($F40,'トピック'!$A:$A,0)),"")</f>
        <v>45</v>
      </c>
      <c r="I40" s="45" t="str">
        <f t="array" ref="I40">IFERROR(INDEX('トピック'!$D:$D,MATCH($F40,'トピック'!$A:$A,0)),"")</f>
        <v>軽い</v>
      </c>
      <c r="J40" s="44" t="str">
        <f t="array" ref="J40">IFERROR(INDEX('トピック'!$E:$E,MATCH($F40,'トピック'!$A:$A,0)),"")</f>
        <v>なんでこのアプリ入れたん？</v>
      </c>
      <c r="K40" s="36"/>
      <c r="L40" s="36"/>
      <c r="M40" s="36"/>
      <c r="N40" s="36"/>
      <c r="O40" s="25" t="str">
        <f t="shared" si="2"/>
        <v>未完</v>
      </c>
    </row>
    <row r="41" ht="48.0" customHeight="1">
      <c r="A41" s="25" t="str">
        <f t="shared" si="1"/>
        <v>C06_P1</v>
      </c>
      <c r="B41" s="19" t="s">
        <v>172</v>
      </c>
      <c r="C41" s="25" t="str">
        <f t="array" ref="C41">IFERROR(IF(INDEX('キャラ'!$B:$B,MATCH($B41,'キャラ'!$A:$A,0))=0,"",INDEX('キャラ'!$B:$B,MATCH($B41,'キャラ'!$A:$A,0))),"")</f>
        <v>アダム</v>
      </c>
      <c r="D41" s="25" t="str">
        <f t="array" ref="D41">IFERROR(INDEX('キャラ'!$D:$D,MATCH($B41,'キャラ'!$A:$A,0)),"")</f>
        <v>モブ</v>
      </c>
      <c r="E41" s="41" t="str">
        <f t="array" ref="E41">IFERROR(IF(INDEX('キャラ'!$G:$G,MATCH($B41,'キャラ'!$A:$A,0))=0,"",INDEX('キャラ'!$G:$G,MATCH($B41,'キャラ'!$A:$A,0))),"")</f>
        <v/>
      </c>
      <c r="F41" s="19" t="s">
        <v>19</v>
      </c>
      <c r="G41" s="25" t="str">
        <f t="array" ref="G41">IFERROR(INDEX('トピック'!$B:$B,MATCH($F41,'トピック'!$A:$A,0)),"")</f>
        <v>場所</v>
      </c>
      <c r="H41" s="45">
        <f t="array" ref="H41">IFERROR(INDEX('トピック'!$C:$C,MATCH($F41,'トピック'!$A:$A,0)),"")</f>
        <v>45</v>
      </c>
      <c r="I41" s="45" t="str">
        <f t="array" ref="I41">IFERROR(INDEX('トピック'!$D:$D,MATCH($F41,'トピック'!$A:$A,0)),"")</f>
        <v>軽い</v>
      </c>
      <c r="J41" s="44" t="str">
        <f t="array" ref="J41">IFERROR(INDEX('トピック'!$E:$E,MATCH($F41,'トピック'!$A:$A,0)),"")</f>
        <v>最近いった場所</v>
      </c>
      <c r="K41" s="36"/>
      <c r="L41" s="36"/>
      <c r="M41" s="36"/>
      <c r="N41" s="36"/>
      <c r="O41" s="25" t="str">
        <f t="shared" si="2"/>
        <v>未完</v>
      </c>
    </row>
    <row r="42" ht="48.0" customHeight="1">
      <c r="A42" s="25" t="str">
        <f t="shared" si="1"/>
        <v>C06_A1</v>
      </c>
      <c r="B42" s="19" t="s">
        <v>172</v>
      </c>
      <c r="C42" s="25" t="str">
        <f t="array" ref="C42">IFERROR(IF(INDEX('キャラ'!$B:$B,MATCH($B42,'キャラ'!$A:$A,0))=0,"",INDEX('キャラ'!$B:$B,MATCH($B42,'キャラ'!$A:$A,0))),"")</f>
        <v>アダム</v>
      </c>
      <c r="D42" s="25" t="str">
        <f t="array" ref="D42">IFERROR(INDEX('キャラ'!$D:$D,MATCH($B42,'キャラ'!$A:$A,0)),"")</f>
        <v>モブ</v>
      </c>
      <c r="E42" s="41" t="str">
        <f t="array" ref="E42">IFERROR(IF(INDEX('キャラ'!$G:$G,MATCH($B42,'キャラ'!$A:$A,0))=0,"",INDEX('キャラ'!$G:$G,MATCH($B42,'キャラ'!$A:$A,0))),"")</f>
        <v/>
      </c>
      <c r="F42" s="19" t="s">
        <v>89</v>
      </c>
      <c r="G42" s="25" t="str">
        <f t="array" ref="G42">IFERROR(INDEX('トピック'!$B:$B,MATCH($F42,'トピック'!$A:$A,0)),"")</f>
        <v>行動</v>
      </c>
      <c r="H42" s="45">
        <f t="array" ref="H42">IFERROR(INDEX('トピック'!$C:$C,MATCH($F42,'トピック'!$A:$A,0)),"")</f>
        <v>45</v>
      </c>
      <c r="I42" s="45" t="str">
        <f t="array" ref="I42">IFERROR(INDEX('トピック'!$D:$D,MATCH($F42,'トピック'!$A:$A,0)),"")</f>
        <v>軽い</v>
      </c>
      <c r="J42" s="44" t="str">
        <f t="array" ref="J42">IFERROR(INDEX('トピック'!$E:$E,MATCH($F42,'トピック'!$A:$A,0)),"")</f>
        <v>休みの日、何してる？</v>
      </c>
      <c r="K42" s="36"/>
      <c r="L42" s="36"/>
      <c r="M42" s="36"/>
      <c r="N42" s="36"/>
      <c r="O42" s="25" t="str">
        <f t="shared" si="2"/>
        <v>未完</v>
      </c>
    </row>
    <row r="43" ht="48.0" customHeight="1">
      <c r="A43" s="25" t="str">
        <f t="shared" si="1"/>
        <v>C06_G1</v>
      </c>
      <c r="B43" s="19" t="s">
        <v>172</v>
      </c>
      <c r="C43" s="25" t="str">
        <f t="array" ref="C43">IFERROR(IF(INDEX('キャラ'!$B:$B,MATCH($B43,'キャラ'!$A:$A,0))=0,"",INDEX('キャラ'!$B:$B,MATCH($B43,'キャラ'!$A:$A,0))),"")</f>
        <v>アダム</v>
      </c>
      <c r="D43" s="25" t="str">
        <f t="array" ref="D43">IFERROR(INDEX('キャラ'!$D:$D,MATCH($B43,'キャラ'!$A:$A,0)),"")</f>
        <v>モブ</v>
      </c>
      <c r="E43" s="41" t="str">
        <f t="array" ref="E43">IFERROR(IF(INDEX('キャラ'!$G:$G,MATCH($B43,'キャラ'!$A:$A,0))=0,"",INDEX('キャラ'!$G:$G,MATCH($B43,'キャラ'!$A:$A,0))),"")</f>
        <v/>
      </c>
      <c r="F43" s="19" t="s">
        <v>111</v>
      </c>
      <c r="G43" s="25" t="str">
        <f t="array" ref="G43">IFERROR(INDEX('トピック'!$B:$B,MATCH($F43,'トピック'!$A:$A,0)),"")</f>
        <v>目的</v>
      </c>
      <c r="H43" s="45">
        <f t="array" ref="H43">IFERROR(INDEX('トピック'!$C:$C,MATCH($F43,'トピック'!$A:$A,0)),"")</f>
        <v>45</v>
      </c>
      <c r="I43" s="45" t="str">
        <f t="array" ref="I43">IFERROR(INDEX('トピック'!$D:$D,MATCH($F43,'トピック'!$A:$A,0)),"")</f>
        <v>軽い</v>
      </c>
      <c r="J43" s="44" t="str">
        <f t="array" ref="J43">IFERROR(INDEX('トピック'!$E:$E,MATCH($F43,'トピック'!$A:$A,0)),"")</f>
        <v>なんでこのアプリ入れたん？</v>
      </c>
      <c r="K43" s="36"/>
      <c r="L43" s="36"/>
      <c r="M43" s="36"/>
      <c r="N43" s="36"/>
      <c r="O43" s="25" t="str">
        <f t="shared" si="2"/>
        <v>未完</v>
      </c>
    </row>
    <row r="44" ht="48.0" customHeight="1">
      <c r="A44" s="25" t="str">
        <f t="shared" si="1"/>
        <v>C07_P1</v>
      </c>
      <c r="B44" s="19" t="s">
        <v>177</v>
      </c>
      <c r="C44" s="25" t="str">
        <f t="array" ref="C44">IFERROR(IF(INDEX('キャラ'!$B:$B,MATCH($B44,'キャラ'!$A:$A,0))=0,"",INDEX('キャラ'!$B:$B,MATCH($B44,'キャラ'!$A:$A,0))),"")</f>
        <v/>
      </c>
      <c r="D44" s="25" t="str">
        <f t="array" ref="D44">IFERROR(INDEX('キャラ'!$D:$D,MATCH($B44,'キャラ'!$A:$A,0)),"")</f>
        <v>モブ</v>
      </c>
      <c r="E44" s="41" t="str">
        <f t="array" ref="E44">IFERROR(IF(INDEX('キャラ'!$G:$G,MATCH($B44,'キャラ'!$A:$A,0))=0,"",INDEX('キャラ'!$G:$G,MATCH($B44,'キャラ'!$A:$A,0))),"")</f>
        <v/>
      </c>
      <c r="F44" s="19" t="s">
        <v>19</v>
      </c>
      <c r="G44" s="25" t="str">
        <f t="array" ref="G44">IFERROR(INDEX('トピック'!$B:$B,MATCH($F44,'トピック'!$A:$A,0)),"")</f>
        <v>場所</v>
      </c>
      <c r="H44" s="45">
        <f t="array" ref="H44">IFERROR(INDEX('トピック'!$C:$C,MATCH($F44,'トピック'!$A:$A,0)),"")</f>
        <v>45</v>
      </c>
      <c r="I44" s="45" t="str">
        <f t="array" ref="I44">IFERROR(INDEX('トピック'!$D:$D,MATCH($F44,'トピック'!$A:$A,0)),"")</f>
        <v>軽い</v>
      </c>
      <c r="J44" s="44" t="str">
        <f t="array" ref="J44">IFERROR(INDEX('トピック'!$E:$E,MATCH($F44,'トピック'!$A:$A,0)),"")</f>
        <v>最近いった場所</v>
      </c>
      <c r="K44" s="36"/>
      <c r="L44" s="36"/>
      <c r="M44" s="36"/>
      <c r="N44" s="36"/>
      <c r="O44" s="25" t="str">
        <f t="shared" si="2"/>
        <v>未完</v>
      </c>
    </row>
    <row r="45" ht="48.0" customHeight="1">
      <c r="A45" s="25" t="str">
        <f t="shared" si="1"/>
        <v>C07_A1</v>
      </c>
      <c r="B45" s="19" t="s">
        <v>177</v>
      </c>
      <c r="C45" s="25" t="str">
        <f t="array" ref="C45">IFERROR(IF(INDEX('キャラ'!$B:$B,MATCH($B45,'キャラ'!$A:$A,0))=0,"",INDEX('キャラ'!$B:$B,MATCH($B45,'キャラ'!$A:$A,0))),"")</f>
        <v/>
      </c>
      <c r="D45" s="25" t="str">
        <f t="array" ref="D45">IFERROR(INDEX('キャラ'!$D:$D,MATCH($B45,'キャラ'!$A:$A,0)),"")</f>
        <v>モブ</v>
      </c>
      <c r="E45" s="41" t="str">
        <f t="array" ref="E45">IFERROR(IF(INDEX('キャラ'!$G:$G,MATCH($B45,'キャラ'!$A:$A,0))=0,"",INDEX('キャラ'!$G:$G,MATCH($B45,'キャラ'!$A:$A,0))),"")</f>
        <v/>
      </c>
      <c r="F45" s="19" t="s">
        <v>89</v>
      </c>
      <c r="G45" s="25" t="str">
        <f t="array" ref="G45">IFERROR(INDEX('トピック'!$B:$B,MATCH($F45,'トピック'!$A:$A,0)),"")</f>
        <v>行動</v>
      </c>
      <c r="H45" s="45">
        <f t="array" ref="H45">IFERROR(INDEX('トピック'!$C:$C,MATCH($F45,'トピック'!$A:$A,0)),"")</f>
        <v>45</v>
      </c>
      <c r="I45" s="45" t="str">
        <f t="array" ref="I45">IFERROR(INDEX('トピック'!$D:$D,MATCH($F45,'トピック'!$A:$A,0)),"")</f>
        <v>軽い</v>
      </c>
      <c r="J45" s="44" t="str">
        <f t="array" ref="J45">IFERROR(INDEX('トピック'!$E:$E,MATCH($F45,'トピック'!$A:$A,0)),"")</f>
        <v>休みの日、何してる？</v>
      </c>
      <c r="K45" s="36"/>
      <c r="L45" s="36"/>
      <c r="M45" s="36"/>
      <c r="N45" s="36"/>
      <c r="O45" s="25" t="str">
        <f t="shared" si="2"/>
        <v>未完</v>
      </c>
    </row>
    <row r="46" ht="48.0" customHeight="1">
      <c r="A46" s="25" t="str">
        <f t="shared" si="1"/>
        <v>C07_G1</v>
      </c>
      <c r="B46" s="19" t="s">
        <v>177</v>
      </c>
      <c r="C46" s="25" t="str">
        <f t="array" ref="C46">IFERROR(IF(INDEX('キャラ'!$B:$B,MATCH($B46,'キャラ'!$A:$A,0))=0,"",INDEX('キャラ'!$B:$B,MATCH($B46,'キャラ'!$A:$A,0))),"")</f>
        <v/>
      </c>
      <c r="D46" s="25" t="str">
        <f t="array" ref="D46">IFERROR(INDEX('キャラ'!$D:$D,MATCH($B46,'キャラ'!$A:$A,0)),"")</f>
        <v>モブ</v>
      </c>
      <c r="E46" s="41" t="str">
        <f t="array" ref="E46">IFERROR(IF(INDEX('キャラ'!$G:$G,MATCH($B46,'キャラ'!$A:$A,0))=0,"",INDEX('キャラ'!$G:$G,MATCH($B46,'キャラ'!$A:$A,0))),"")</f>
        <v/>
      </c>
      <c r="F46" s="19" t="s">
        <v>111</v>
      </c>
      <c r="G46" s="25" t="str">
        <f t="array" ref="G46">IFERROR(INDEX('トピック'!$B:$B,MATCH($F46,'トピック'!$A:$A,0)),"")</f>
        <v>目的</v>
      </c>
      <c r="H46" s="45">
        <f t="array" ref="H46">IFERROR(INDEX('トピック'!$C:$C,MATCH($F46,'トピック'!$A:$A,0)),"")</f>
        <v>45</v>
      </c>
      <c r="I46" s="45" t="str">
        <f t="array" ref="I46">IFERROR(INDEX('トピック'!$D:$D,MATCH($F46,'トピック'!$A:$A,0)),"")</f>
        <v>軽い</v>
      </c>
      <c r="J46" s="44" t="str">
        <f t="array" ref="J46">IFERROR(INDEX('トピック'!$E:$E,MATCH($F46,'トピック'!$A:$A,0)),"")</f>
        <v>なんでこのアプリ入れたん？</v>
      </c>
      <c r="K46" s="36"/>
      <c r="L46" s="36"/>
      <c r="M46" s="36"/>
      <c r="N46" s="36"/>
      <c r="O46" s="25" t="str">
        <f t="shared" si="2"/>
        <v>未完</v>
      </c>
    </row>
    <row r="47" ht="48.0" customHeight="1">
      <c r="A47" s="25" t="str">
        <f t="shared" si="1"/>
        <v>C08_P1</v>
      </c>
      <c r="B47" s="19" t="s">
        <v>179</v>
      </c>
      <c r="C47" s="25" t="str">
        <f t="array" ref="C47">IFERROR(IF(INDEX('キャラ'!$B:$B,MATCH($B47,'キャラ'!$A:$A,0))=0,"",INDEX('キャラ'!$B:$B,MATCH($B47,'キャラ'!$A:$A,0))),"")</f>
        <v/>
      </c>
      <c r="D47" s="25" t="str">
        <f t="array" ref="D47">IFERROR(INDEX('キャラ'!$D:$D,MATCH($B47,'キャラ'!$A:$A,0)),"")</f>
        <v>モブ</v>
      </c>
      <c r="E47" s="41" t="str">
        <f t="array" ref="E47">IFERROR(IF(INDEX('キャラ'!$G:$G,MATCH($B47,'キャラ'!$A:$A,0))=0,"",INDEX('キャラ'!$G:$G,MATCH($B47,'キャラ'!$A:$A,0))),"")</f>
        <v/>
      </c>
      <c r="F47" s="19" t="s">
        <v>19</v>
      </c>
      <c r="G47" s="25" t="str">
        <f t="array" ref="G47">IFERROR(INDEX('トピック'!$B:$B,MATCH($F47,'トピック'!$A:$A,0)),"")</f>
        <v>場所</v>
      </c>
      <c r="H47" s="45">
        <f t="array" ref="H47">IFERROR(INDEX('トピック'!$C:$C,MATCH($F47,'トピック'!$A:$A,0)),"")</f>
        <v>45</v>
      </c>
      <c r="I47" s="45" t="str">
        <f t="array" ref="I47">IFERROR(INDEX('トピック'!$D:$D,MATCH($F47,'トピック'!$A:$A,0)),"")</f>
        <v>軽い</v>
      </c>
      <c r="J47" s="44" t="str">
        <f t="array" ref="J47">IFERROR(INDEX('トピック'!$E:$E,MATCH($F47,'トピック'!$A:$A,0)),"")</f>
        <v>最近いった場所</v>
      </c>
      <c r="K47" s="36"/>
      <c r="L47" s="36"/>
      <c r="M47" s="36"/>
      <c r="N47" s="36"/>
      <c r="O47" s="25" t="str">
        <f t="shared" si="2"/>
        <v>未完</v>
      </c>
    </row>
    <row r="48" ht="48.0" customHeight="1">
      <c r="A48" s="25" t="str">
        <f t="shared" si="1"/>
        <v>C08_A1</v>
      </c>
      <c r="B48" s="19" t="s">
        <v>179</v>
      </c>
      <c r="C48" s="25" t="str">
        <f t="array" ref="C48">IFERROR(IF(INDEX('キャラ'!$B:$B,MATCH($B48,'キャラ'!$A:$A,0))=0,"",INDEX('キャラ'!$B:$B,MATCH($B48,'キャラ'!$A:$A,0))),"")</f>
        <v/>
      </c>
      <c r="D48" s="25" t="str">
        <f t="array" ref="D48">IFERROR(INDEX('キャラ'!$D:$D,MATCH($B48,'キャラ'!$A:$A,0)),"")</f>
        <v>モブ</v>
      </c>
      <c r="E48" s="41" t="str">
        <f t="array" ref="E48">IFERROR(IF(INDEX('キャラ'!$G:$G,MATCH($B48,'キャラ'!$A:$A,0))=0,"",INDEX('キャラ'!$G:$G,MATCH($B48,'キャラ'!$A:$A,0))),"")</f>
        <v/>
      </c>
      <c r="F48" s="19" t="s">
        <v>89</v>
      </c>
      <c r="G48" s="25" t="str">
        <f t="array" ref="G48">IFERROR(INDEX('トピック'!$B:$B,MATCH($F48,'トピック'!$A:$A,0)),"")</f>
        <v>行動</v>
      </c>
      <c r="H48" s="45">
        <f t="array" ref="H48">IFERROR(INDEX('トピック'!$C:$C,MATCH($F48,'トピック'!$A:$A,0)),"")</f>
        <v>45</v>
      </c>
      <c r="I48" s="45" t="str">
        <f t="array" ref="I48">IFERROR(INDEX('トピック'!$D:$D,MATCH($F48,'トピック'!$A:$A,0)),"")</f>
        <v>軽い</v>
      </c>
      <c r="J48" s="44" t="str">
        <f t="array" ref="J48">IFERROR(INDEX('トピック'!$E:$E,MATCH($F48,'トピック'!$A:$A,0)),"")</f>
        <v>休みの日、何してる？</v>
      </c>
      <c r="K48" s="36"/>
      <c r="L48" s="36"/>
      <c r="M48" s="36"/>
      <c r="N48" s="36"/>
      <c r="O48" s="25" t="str">
        <f t="shared" si="2"/>
        <v>未完</v>
      </c>
    </row>
    <row r="49" ht="48.0" customHeight="1">
      <c r="A49" s="25" t="str">
        <f t="shared" si="1"/>
        <v>C08_G1</v>
      </c>
      <c r="B49" s="19" t="s">
        <v>179</v>
      </c>
      <c r="C49" s="25" t="str">
        <f t="array" ref="C49">IFERROR(IF(INDEX('キャラ'!$B:$B,MATCH($B49,'キャラ'!$A:$A,0))=0,"",INDEX('キャラ'!$B:$B,MATCH($B49,'キャラ'!$A:$A,0))),"")</f>
        <v/>
      </c>
      <c r="D49" s="25" t="str">
        <f t="array" ref="D49">IFERROR(INDEX('キャラ'!$D:$D,MATCH($B49,'キャラ'!$A:$A,0)),"")</f>
        <v>モブ</v>
      </c>
      <c r="E49" s="41" t="str">
        <f t="array" ref="E49">IFERROR(IF(INDEX('キャラ'!$G:$G,MATCH($B49,'キャラ'!$A:$A,0))=0,"",INDEX('キャラ'!$G:$G,MATCH($B49,'キャラ'!$A:$A,0))),"")</f>
        <v/>
      </c>
      <c r="F49" s="19" t="s">
        <v>111</v>
      </c>
      <c r="G49" s="25" t="str">
        <f t="array" ref="G49">IFERROR(INDEX('トピック'!$B:$B,MATCH($F49,'トピック'!$A:$A,0)),"")</f>
        <v>目的</v>
      </c>
      <c r="H49" s="45">
        <f t="array" ref="H49">IFERROR(INDEX('トピック'!$C:$C,MATCH($F49,'トピック'!$A:$A,0)),"")</f>
        <v>45</v>
      </c>
      <c r="I49" s="45" t="str">
        <f t="array" ref="I49">IFERROR(INDEX('トピック'!$D:$D,MATCH($F49,'トピック'!$A:$A,0)),"")</f>
        <v>軽い</v>
      </c>
      <c r="J49" s="44" t="str">
        <f t="array" ref="J49">IFERROR(INDEX('トピック'!$E:$E,MATCH($F49,'トピック'!$A:$A,0)),"")</f>
        <v>なんでこのアプリ入れたん？</v>
      </c>
      <c r="K49" s="36"/>
      <c r="L49" s="36"/>
      <c r="M49" s="36"/>
      <c r="N49" s="36"/>
      <c r="O49" s="25" t="str">
        <f t="shared" si="2"/>
        <v>未完</v>
      </c>
    </row>
    <row r="50" ht="48.0" customHeight="1">
      <c r="A50" s="25" t="str">
        <f t="shared" si="1"/>
        <v>C09_P1</v>
      </c>
      <c r="B50" s="19" t="s">
        <v>187</v>
      </c>
      <c r="C50" s="25" t="str">
        <f t="array" ref="C50">IFERROR(IF(INDEX('キャラ'!$B:$B,MATCH($B50,'キャラ'!$A:$A,0))=0,"",INDEX('キャラ'!$B:$B,MATCH($B50,'キャラ'!$A:$A,0))),"")</f>
        <v/>
      </c>
      <c r="D50" s="25" t="str">
        <f t="array" ref="D50">IFERROR(INDEX('キャラ'!$D:$D,MATCH($B50,'キャラ'!$A:$A,0)),"")</f>
        <v>モブ</v>
      </c>
      <c r="E50" s="41" t="str">
        <f t="array" ref="E50">IFERROR(IF(INDEX('キャラ'!$G:$G,MATCH($B50,'キャラ'!$A:$A,0))=0,"",INDEX('キャラ'!$G:$G,MATCH($B50,'キャラ'!$A:$A,0))),"")</f>
        <v/>
      </c>
      <c r="F50" s="19" t="s">
        <v>19</v>
      </c>
      <c r="G50" s="25" t="str">
        <f t="array" ref="G50">IFERROR(INDEX('トピック'!$B:$B,MATCH($F50,'トピック'!$A:$A,0)),"")</f>
        <v>場所</v>
      </c>
      <c r="H50" s="45">
        <f t="array" ref="H50">IFERROR(INDEX('トピック'!$C:$C,MATCH($F50,'トピック'!$A:$A,0)),"")</f>
        <v>45</v>
      </c>
      <c r="I50" s="45" t="str">
        <f t="array" ref="I50">IFERROR(INDEX('トピック'!$D:$D,MATCH($F50,'トピック'!$A:$A,0)),"")</f>
        <v>軽い</v>
      </c>
      <c r="J50" s="44" t="str">
        <f t="array" ref="J50">IFERROR(INDEX('トピック'!$E:$E,MATCH($F50,'トピック'!$A:$A,0)),"")</f>
        <v>最近いった場所</v>
      </c>
      <c r="K50" s="36"/>
      <c r="L50" s="36"/>
      <c r="M50" s="36"/>
      <c r="N50" s="36"/>
      <c r="O50" s="25" t="str">
        <f t="shared" si="2"/>
        <v>未完</v>
      </c>
    </row>
    <row r="51" ht="48.0" customHeight="1">
      <c r="A51" s="25" t="str">
        <f t="shared" si="1"/>
        <v>C09_A1</v>
      </c>
      <c r="B51" s="19" t="s">
        <v>187</v>
      </c>
      <c r="C51" s="25" t="str">
        <f t="array" ref="C51">IFERROR(IF(INDEX('キャラ'!$B:$B,MATCH($B51,'キャラ'!$A:$A,0))=0,"",INDEX('キャラ'!$B:$B,MATCH($B51,'キャラ'!$A:$A,0))),"")</f>
        <v/>
      </c>
      <c r="D51" s="25" t="str">
        <f t="array" ref="D51">IFERROR(INDEX('キャラ'!$D:$D,MATCH($B51,'キャラ'!$A:$A,0)),"")</f>
        <v>モブ</v>
      </c>
      <c r="E51" s="41" t="str">
        <f t="array" ref="E51">IFERROR(IF(INDEX('キャラ'!$G:$G,MATCH($B51,'キャラ'!$A:$A,0))=0,"",INDEX('キャラ'!$G:$G,MATCH($B51,'キャラ'!$A:$A,0))),"")</f>
        <v/>
      </c>
      <c r="F51" s="19" t="s">
        <v>89</v>
      </c>
      <c r="G51" s="25" t="str">
        <f t="array" ref="G51">IFERROR(INDEX('トピック'!$B:$B,MATCH($F51,'トピック'!$A:$A,0)),"")</f>
        <v>行動</v>
      </c>
      <c r="H51" s="45">
        <f t="array" ref="H51">IFERROR(INDEX('トピック'!$C:$C,MATCH($F51,'トピック'!$A:$A,0)),"")</f>
        <v>45</v>
      </c>
      <c r="I51" s="45" t="str">
        <f t="array" ref="I51">IFERROR(INDEX('トピック'!$D:$D,MATCH($F51,'トピック'!$A:$A,0)),"")</f>
        <v>軽い</v>
      </c>
      <c r="J51" s="44" t="str">
        <f t="array" ref="J51">IFERROR(INDEX('トピック'!$E:$E,MATCH($F51,'トピック'!$A:$A,0)),"")</f>
        <v>休みの日、何してる？</v>
      </c>
      <c r="K51" s="36"/>
      <c r="L51" s="36"/>
      <c r="M51" s="36"/>
      <c r="N51" s="36"/>
      <c r="O51" s="25" t="str">
        <f t="shared" si="2"/>
        <v>未完</v>
      </c>
    </row>
    <row r="52" ht="48.0" customHeight="1">
      <c r="A52" s="25" t="str">
        <f t="shared" si="1"/>
        <v>C09_G1</v>
      </c>
      <c r="B52" s="19" t="s">
        <v>187</v>
      </c>
      <c r="C52" s="25" t="str">
        <f t="array" ref="C52">IFERROR(IF(INDEX('キャラ'!$B:$B,MATCH($B52,'キャラ'!$A:$A,0))=0,"",INDEX('キャラ'!$B:$B,MATCH($B52,'キャラ'!$A:$A,0))),"")</f>
        <v/>
      </c>
      <c r="D52" s="25" t="str">
        <f t="array" ref="D52">IFERROR(INDEX('キャラ'!$D:$D,MATCH($B52,'キャラ'!$A:$A,0)),"")</f>
        <v>モブ</v>
      </c>
      <c r="E52" s="41" t="str">
        <f t="array" ref="E52">IFERROR(IF(INDEX('キャラ'!$G:$G,MATCH($B52,'キャラ'!$A:$A,0))=0,"",INDEX('キャラ'!$G:$G,MATCH($B52,'キャラ'!$A:$A,0))),"")</f>
        <v/>
      </c>
      <c r="F52" s="19" t="s">
        <v>111</v>
      </c>
      <c r="G52" s="25" t="str">
        <f t="array" ref="G52">IFERROR(INDEX('トピック'!$B:$B,MATCH($F52,'トピック'!$A:$A,0)),"")</f>
        <v>目的</v>
      </c>
      <c r="H52" s="45">
        <f t="array" ref="H52">IFERROR(INDEX('トピック'!$C:$C,MATCH($F52,'トピック'!$A:$A,0)),"")</f>
        <v>45</v>
      </c>
      <c r="I52" s="45" t="str">
        <f t="array" ref="I52">IFERROR(INDEX('トピック'!$D:$D,MATCH($F52,'トピック'!$A:$A,0)),"")</f>
        <v>軽い</v>
      </c>
      <c r="J52" s="44" t="str">
        <f t="array" ref="J52">IFERROR(INDEX('トピック'!$E:$E,MATCH($F52,'トピック'!$A:$A,0)),"")</f>
        <v>なんでこのアプリ入れたん？</v>
      </c>
      <c r="K52" s="36"/>
      <c r="L52" s="36"/>
      <c r="M52" s="36"/>
      <c r="N52" s="36"/>
      <c r="O52" s="25" t="str">
        <f t="shared" si="2"/>
        <v>未完</v>
      </c>
    </row>
    <row r="53" ht="48.0" customHeight="1">
      <c r="A53" s="25" t="str">
        <f t="shared" si="1"/>
        <v>C10_P1</v>
      </c>
      <c r="B53" s="19" t="s">
        <v>200</v>
      </c>
      <c r="C53" s="25" t="str">
        <f t="array" ref="C53">IFERROR(IF(INDEX('キャラ'!$B:$B,MATCH($B53,'キャラ'!$A:$A,0))=0,"",INDEX('キャラ'!$B:$B,MATCH($B53,'キャラ'!$A:$A,0))),"")</f>
        <v/>
      </c>
      <c r="D53" s="25" t="str">
        <f t="array" ref="D53">IFERROR(INDEX('キャラ'!$D:$D,MATCH($B53,'キャラ'!$A:$A,0)),"")</f>
        <v>モブ</v>
      </c>
      <c r="E53" s="41" t="str">
        <f t="array" ref="E53">IFERROR(IF(INDEX('キャラ'!$G:$G,MATCH($B53,'キャラ'!$A:$A,0))=0,"",INDEX('キャラ'!$G:$G,MATCH($B53,'キャラ'!$A:$A,0))),"")</f>
        <v/>
      </c>
      <c r="F53" s="19" t="s">
        <v>19</v>
      </c>
      <c r="G53" s="25" t="str">
        <f t="array" ref="G53">IFERROR(INDEX('トピック'!$B:$B,MATCH($F53,'トピック'!$A:$A,0)),"")</f>
        <v>場所</v>
      </c>
      <c r="H53" s="45">
        <f t="array" ref="H53">IFERROR(INDEX('トピック'!$C:$C,MATCH($F53,'トピック'!$A:$A,0)),"")</f>
        <v>45</v>
      </c>
      <c r="I53" s="45" t="str">
        <f t="array" ref="I53">IFERROR(INDEX('トピック'!$D:$D,MATCH($F53,'トピック'!$A:$A,0)),"")</f>
        <v>軽い</v>
      </c>
      <c r="J53" s="44" t="str">
        <f t="array" ref="J53">IFERROR(INDEX('トピック'!$E:$E,MATCH($F53,'トピック'!$A:$A,0)),"")</f>
        <v>最近いった場所</v>
      </c>
      <c r="K53" s="36"/>
      <c r="L53" s="36"/>
      <c r="M53" s="36"/>
      <c r="N53" s="36"/>
      <c r="O53" s="25" t="str">
        <f t="shared" si="2"/>
        <v>未完</v>
      </c>
    </row>
    <row r="54" ht="48.0" customHeight="1">
      <c r="A54" s="25" t="str">
        <f t="shared" si="1"/>
        <v>C10_A1</v>
      </c>
      <c r="B54" s="19" t="s">
        <v>200</v>
      </c>
      <c r="C54" s="25" t="str">
        <f t="array" ref="C54">IFERROR(IF(INDEX('キャラ'!$B:$B,MATCH($B54,'キャラ'!$A:$A,0))=0,"",INDEX('キャラ'!$B:$B,MATCH($B54,'キャラ'!$A:$A,0))),"")</f>
        <v/>
      </c>
      <c r="D54" s="25" t="str">
        <f t="array" ref="D54">IFERROR(INDEX('キャラ'!$D:$D,MATCH($B54,'キャラ'!$A:$A,0)),"")</f>
        <v>モブ</v>
      </c>
      <c r="E54" s="41" t="str">
        <f t="array" ref="E54">IFERROR(IF(INDEX('キャラ'!$G:$G,MATCH($B54,'キャラ'!$A:$A,0))=0,"",INDEX('キャラ'!$G:$G,MATCH($B54,'キャラ'!$A:$A,0))),"")</f>
        <v/>
      </c>
      <c r="F54" s="19" t="s">
        <v>89</v>
      </c>
      <c r="G54" s="25" t="str">
        <f t="array" ref="G54">IFERROR(INDEX('トピック'!$B:$B,MATCH($F54,'トピック'!$A:$A,0)),"")</f>
        <v>行動</v>
      </c>
      <c r="H54" s="45">
        <f t="array" ref="H54">IFERROR(INDEX('トピック'!$C:$C,MATCH($F54,'トピック'!$A:$A,0)),"")</f>
        <v>45</v>
      </c>
      <c r="I54" s="45" t="str">
        <f t="array" ref="I54">IFERROR(INDEX('トピック'!$D:$D,MATCH($F54,'トピック'!$A:$A,0)),"")</f>
        <v>軽い</v>
      </c>
      <c r="J54" s="44" t="str">
        <f t="array" ref="J54">IFERROR(INDEX('トピック'!$E:$E,MATCH($F54,'トピック'!$A:$A,0)),"")</f>
        <v>休みの日、何してる？</v>
      </c>
      <c r="K54" s="36"/>
      <c r="L54" s="36"/>
      <c r="M54" s="36"/>
      <c r="N54" s="36"/>
      <c r="O54" s="25" t="str">
        <f t="shared" si="2"/>
        <v>未完</v>
      </c>
    </row>
    <row r="55" ht="48.0" customHeight="1">
      <c r="A55" s="25" t="str">
        <f t="shared" si="1"/>
        <v>C10_G1</v>
      </c>
      <c r="B55" s="19" t="s">
        <v>200</v>
      </c>
      <c r="C55" s="25" t="str">
        <f t="array" ref="C55">IFERROR(IF(INDEX('キャラ'!$B:$B,MATCH($B55,'キャラ'!$A:$A,0))=0,"",INDEX('キャラ'!$B:$B,MATCH($B55,'キャラ'!$A:$A,0))),"")</f>
        <v/>
      </c>
      <c r="D55" s="25" t="str">
        <f t="array" ref="D55">IFERROR(INDEX('キャラ'!$D:$D,MATCH($B55,'キャラ'!$A:$A,0)),"")</f>
        <v>モブ</v>
      </c>
      <c r="E55" s="41" t="str">
        <f t="array" ref="E55">IFERROR(IF(INDEX('キャラ'!$G:$G,MATCH($B55,'キャラ'!$A:$A,0))=0,"",INDEX('キャラ'!$G:$G,MATCH($B55,'キャラ'!$A:$A,0))),"")</f>
        <v/>
      </c>
      <c r="F55" s="19" t="s">
        <v>111</v>
      </c>
      <c r="G55" s="25" t="str">
        <f t="array" ref="G55">IFERROR(INDEX('トピック'!$B:$B,MATCH($F55,'トピック'!$A:$A,0)),"")</f>
        <v>目的</v>
      </c>
      <c r="H55" s="45">
        <f t="array" ref="H55">IFERROR(INDEX('トピック'!$C:$C,MATCH($F55,'トピック'!$A:$A,0)),"")</f>
        <v>45</v>
      </c>
      <c r="I55" s="45" t="str">
        <f t="array" ref="I55">IFERROR(INDEX('トピック'!$D:$D,MATCH($F55,'トピック'!$A:$A,0)),"")</f>
        <v>軽い</v>
      </c>
      <c r="J55" s="44" t="str">
        <f t="array" ref="J55">IFERROR(INDEX('トピック'!$E:$E,MATCH($F55,'トピック'!$A:$A,0)),"")</f>
        <v>なんでこのアプリ入れたん？</v>
      </c>
      <c r="K55" s="36"/>
      <c r="L55" s="36"/>
      <c r="M55" s="36"/>
      <c r="N55" s="36"/>
      <c r="O55" s="25" t="str">
        <f t="shared" si="2"/>
        <v>未完</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11.0"/>
    <col customWidth="1" min="3" max="3" width="26.0"/>
    <col customWidth="1" min="4" max="4" width="34.0"/>
    <col customWidth="1" min="5" max="5" width="40.0"/>
    <col customWidth="1" min="6" max="6" width="38.0"/>
    <col customWidth="1" min="7" max="26" width="8.71"/>
  </cols>
  <sheetData>
    <row r="1" ht="42.0" customHeight="1">
      <c r="A1" s="1" t="s">
        <v>162</v>
      </c>
      <c r="B1" s="1" t="s">
        <v>5</v>
      </c>
      <c r="C1" s="1" t="s">
        <v>165</v>
      </c>
      <c r="D1" s="1" t="s">
        <v>167</v>
      </c>
      <c r="E1" s="1" t="s">
        <v>169</v>
      </c>
      <c r="F1" s="1" t="s">
        <v>171</v>
      </c>
    </row>
    <row r="2" ht="51.75" customHeight="1">
      <c r="A2" s="19" t="s">
        <v>56</v>
      </c>
      <c r="B2" s="25" t="str">
        <f t="array" ref="B2">IFERROR(IF(INDEX('キャラ'!$B:$B,MATCH($A2,'キャラ'!$A:$A,0))=0,"",INDEX('キャラ'!$B:$B,MATCH($A2,'キャラ'!$A:$A,0))),"")</f>
        <v>アリエル</v>
      </c>
      <c r="C2" s="44" t="s">
        <v>201</v>
      </c>
      <c r="D2" s="26" t="s">
        <v>202</v>
      </c>
      <c r="E2" s="26" t="s">
        <v>204</v>
      </c>
      <c r="F2" s="26" t="s">
        <v>205</v>
      </c>
    </row>
    <row r="3" ht="51.75" customHeight="1">
      <c r="A3" s="19" t="s">
        <v>123</v>
      </c>
      <c r="B3" s="25" t="str">
        <f t="array" ref="B3">IFERROR(IF(INDEX('キャラ'!$B:$B,MATCH($A3,'キャラ'!$A:$A,0))=0,"",INDEX('キャラ'!$B:$B,MATCH($A3,'キャラ'!$A:$A,0))),"")</f>
        <v>アリーシア</v>
      </c>
      <c r="C3" s="44" t="s">
        <v>201</v>
      </c>
      <c r="D3" s="36"/>
      <c r="E3" s="36"/>
      <c r="F3" s="36"/>
    </row>
    <row r="4" ht="51.75" customHeight="1">
      <c r="A4" s="19" t="s">
        <v>151</v>
      </c>
      <c r="B4" s="25" t="str">
        <f t="array" ref="B4">IFERROR(IF(INDEX('キャラ'!$B:$B,MATCH($A4,'キャラ'!$A:$A,0))=0,"",INDEX('キャラ'!$B:$B,MATCH($A4,'キャラ'!$A:$A,0))),"")</f>
        <v>ミカ</v>
      </c>
      <c r="C4" s="44" t="s">
        <v>201</v>
      </c>
      <c r="D4" s="36"/>
      <c r="E4" s="36"/>
      <c r="F4" s="36"/>
    </row>
    <row r="5" ht="51.75" customHeight="1">
      <c r="A5" s="19" t="s">
        <v>158</v>
      </c>
      <c r="B5" s="25" t="str">
        <f t="array" ref="B5">IFERROR(IF(INDEX('キャラ'!$B:$B,MATCH($A5,'キャラ'!$A:$A,0))=0,"",INDEX('キャラ'!$B:$B,MATCH($A5,'キャラ'!$A:$A,0))),"")</f>
        <v>さきこ</v>
      </c>
      <c r="C5" s="44" t="s">
        <v>201</v>
      </c>
      <c r="D5" s="36"/>
      <c r="E5" s="36"/>
      <c r="F5" s="36"/>
    </row>
    <row r="6" ht="51.75" customHeight="1">
      <c r="A6" s="19" t="s">
        <v>166</v>
      </c>
      <c r="B6" s="25" t="str">
        <f t="array" ref="B6">IFERROR(IF(INDEX('キャラ'!$B:$B,MATCH($A6,'キャラ'!$A:$A,0))=0,"",INDEX('キャラ'!$B:$B,MATCH($A6,'キャラ'!$A:$A,0))),"")</f>
        <v>シャノン</v>
      </c>
      <c r="C6" s="44" t="s">
        <v>201</v>
      </c>
      <c r="D6" s="36"/>
      <c r="E6" s="36"/>
      <c r="F6" s="36"/>
    </row>
    <row r="7" ht="51.75" customHeight="1">
      <c r="A7" s="19" t="s">
        <v>172</v>
      </c>
      <c r="B7" s="25" t="str">
        <f t="array" ref="B7">IFERROR(IF(INDEX('キャラ'!$B:$B,MATCH($A7,'キャラ'!$A:$A,0))=0,"",INDEX('キャラ'!$B:$B,MATCH($A7,'キャラ'!$A:$A,0))),"")</f>
        <v>アダム</v>
      </c>
      <c r="C7" s="44" t="s">
        <v>201</v>
      </c>
      <c r="D7" s="36"/>
      <c r="E7" s="36"/>
      <c r="F7" s="36"/>
    </row>
    <row r="8" ht="51.75" customHeight="1">
      <c r="A8" s="19" t="s">
        <v>177</v>
      </c>
      <c r="B8" s="25" t="str">
        <f t="array" ref="B8">IFERROR(IF(INDEX('キャラ'!$B:$B,MATCH($A8,'キャラ'!$A:$A,0))=0,"",INDEX('キャラ'!$B:$B,MATCH($A8,'キャラ'!$A:$A,0))),"")</f>
        <v/>
      </c>
      <c r="C8" s="44" t="s">
        <v>201</v>
      </c>
      <c r="D8" s="36"/>
      <c r="E8" s="36"/>
      <c r="F8" s="36"/>
    </row>
    <row r="9" ht="51.75" customHeight="1">
      <c r="A9" s="19" t="s">
        <v>179</v>
      </c>
      <c r="B9" s="25" t="str">
        <f t="array" ref="B9">IFERROR(IF(INDEX('キャラ'!$B:$B,MATCH($A9,'キャラ'!$A:$A,0))=0,"",INDEX('キャラ'!$B:$B,MATCH($A9,'キャラ'!$A:$A,0))),"")</f>
        <v/>
      </c>
      <c r="C9" s="44" t="s">
        <v>201</v>
      </c>
      <c r="D9" s="36"/>
      <c r="E9" s="36"/>
      <c r="F9" s="36"/>
    </row>
    <row r="10" ht="51.75" customHeight="1">
      <c r="A10" s="19" t="s">
        <v>187</v>
      </c>
      <c r="B10" s="25" t="str">
        <f t="array" ref="B10">IFERROR(IF(INDEX('キャラ'!$B:$B,MATCH($A10,'キャラ'!$A:$A,0))=0,"",INDEX('キャラ'!$B:$B,MATCH($A10,'キャラ'!$A:$A,0))),"")</f>
        <v/>
      </c>
      <c r="C10" s="44" t="s">
        <v>201</v>
      </c>
      <c r="D10" s="36"/>
      <c r="E10" s="36"/>
      <c r="F10" s="36"/>
    </row>
    <row r="11" ht="51.75" customHeight="1">
      <c r="A11" s="19" t="s">
        <v>200</v>
      </c>
      <c r="B11" s="25" t="str">
        <f t="array" ref="B11">IFERROR(IF(INDEX('キャラ'!$B:$B,MATCH($A11,'キャラ'!$A:$A,0))=0,"",INDEX('キャラ'!$B:$B,MATCH($A11,'キャラ'!$A:$A,0))),"")</f>
        <v/>
      </c>
      <c r="C11" s="44" t="s">
        <v>201</v>
      </c>
      <c r="D11" s="36"/>
      <c r="E11" s="36"/>
      <c r="F11"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8.0"/>
    <col customWidth="1" min="3" max="3" width="42.0"/>
    <col customWidth="1" min="4" max="26" width="8.71"/>
  </cols>
  <sheetData>
    <row r="1" ht="33.75" customHeight="1">
      <c r="A1" s="1" t="s">
        <v>181</v>
      </c>
      <c r="B1" s="1" t="s">
        <v>182</v>
      </c>
      <c r="C1" s="1" t="s">
        <v>183</v>
      </c>
    </row>
    <row r="2" ht="30.0" customHeight="1">
      <c r="A2" s="42" t="s">
        <v>184</v>
      </c>
      <c r="B2" s="43" t="s">
        <v>185</v>
      </c>
      <c r="C2" s="42" t="s">
        <v>186</v>
      </c>
    </row>
    <row r="3" ht="30.0" customHeight="1">
      <c r="A3" s="42" t="s">
        <v>184</v>
      </c>
      <c r="B3" s="43" t="s">
        <v>188</v>
      </c>
      <c r="C3" s="42"/>
    </row>
    <row r="4" ht="30.0" customHeight="1">
      <c r="A4" s="42" t="s">
        <v>184</v>
      </c>
      <c r="B4" s="43" t="s">
        <v>190</v>
      </c>
      <c r="C4" s="42"/>
    </row>
    <row r="5" ht="30.0" customHeight="1">
      <c r="A5" s="42" t="s">
        <v>191</v>
      </c>
      <c r="B5" s="43" t="s">
        <v>192</v>
      </c>
      <c r="C5" s="42" t="s">
        <v>193</v>
      </c>
    </row>
    <row r="6" ht="30.0" customHeight="1">
      <c r="A6" s="42" t="s">
        <v>194</v>
      </c>
      <c r="B6" s="43" t="s">
        <v>195</v>
      </c>
      <c r="C6" s="42" t="s">
        <v>196</v>
      </c>
    </row>
    <row r="7" ht="30.0" customHeight="1">
      <c r="A7" s="42" t="s">
        <v>197</v>
      </c>
      <c r="B7" s="43" t="s">
        <v>198</v>
      </c>
      <c r="C7" s="42" t="s">
        <v>199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11.0"/>
    <col customWidth="1" min="3" max="3" width="7.0"/>
    <col customWidth="1" min="4" max="4" width="12.0"/>
    <col customWidth="1" min="5" max="5" width="14.0"/>
    <col customWidth="1" min="6" max="6" width="12.0"/>
    <col customWidth="1" min="7" max="7" width="10.0"/>
    <col customWidth="1" min="8" max="26" width="8.71"/>
  </cols>
  <sheetData>
    <row r="1" ht="33.75" customHeight="1">
      <c r="A1" s="1" t="s">
        <v>206</v>
      </c>
      <c r="B1" s="1" t="s">
        <v>5</v>
      </c>
      <c r="C1" s="1" t="s">
        <v>11</v>
      </c>
      <c r="D1" s="1" t="s">
        <v>207</v>
      </c>
      <c r="E1" s="1" t="s">
        <v>208</v>
      </c>
      <c r="F1" s="1" t="s">
        <v>209</v>
      </c>
      <c r="G1" s="1" t="s">
        <v>210</v>
      </c>
    </row>
    <row r="2">
      <c r="A2" s="46" t="s">
        <v>56</v>
      </c>
      <c r="B2" s="47" t="str">
        <f t="array" ref="B2">IFERROR(IF(INDEX('キャラ'!$B:$B,MATCH($A2,'キャラ'!$A:$A,0))=0,"",INDEX('キャラ'!$B:$B,MATCH($A2,'キャラ'!$A:$A,0))),"")</f>
        <v>アリエル</v>
      </c>
      <c r="C2" s="47" t="str">
        <f t="array" ref="C2">IFERROR(INDEX('キャラ'!$D:$D,MATCH($A2,'キャラ'!$A:$A,0)),"")</f>
        <v>本命</v>
      </c>
      <c r="D2" s="47" t="str">
        <f>IF($C2="モブ","不要",IF(COUNTBLANK('キャラ'!$G2:$I2)&gt;0,"未","済"))</f>
        <v>未</v>
      </c>
      <c r="E2" s="47">
        <f>COUNTIF('会話'!$B$2:$B$55,$A2)</f>
        <v>11</v>
      </c>
      <c r="F2" s="47">
        <f>COUNTIFS('会話'!$B$2:$B$55,$A2,'会話'!$O$2:$O$55,"OK")</f>
        <v>0</v>
      </c>
      <c r="G2" s="48">
        <f t="shared" ref="G2:G11" si="1">IF($E2=0,0,$F2/$E2)</f>
        <v>0</v>
      </c>
    </row>
    <row r="3">
      <c r="A3" s="46" t="s">
        <v>123</v>
      </c>
      <c r="B3" s="47" t="str">
        <f t="array" ref="B3">IFERROR(IF(INDEX('キャラ'!$B:$B,MATCH($A3,'キャラ'!$A:$A,0))=0,"",INDEX('キャラ'!$B:$B,MATCH($A3,'キャラ'!$A:$A,0))),"")</f>
        <v>アリーシア</v>
      </c>
      <c r="C3" s="47" t="str">
        <f t="array" ref="C3">IFERROR(INDEX('キャラ'!$D:$D,MATCH($A3,'キャラ'!$A:$A,0)),"")</f>
        <v>本命</v>
      </c>
      <c r="D3" s="47" t="str">
        <f>IF($C3="モブ","不要",IF(COUNTBLANK('キャラ'!$G3:$I3)&gt;0,"未","済"))</f>
        <v>未</v>
      </c>
      <c r="E3" s="47">
        <f>COUNTIF('会話'!$B$2:$B$55,$A3)</f>
        <v>11</v>
      </c>
      <c r="F3" s="47">
        <f>COUNTIFS('会話'!$B$2:$B$55,$A3,'会話'!$O$2:$O$55,"OK")</f>
        <v>9</v>
      </c>
      <c r="G3" s="48">
        <f t="shared" si="1"/>
        <v>0.8181818182</v>
      </c>
    </row>
    <row r="4">
      <c r="A4" s="46" t="s">
        <v>151</v>
      </c>
      <c r="B4" s="47" t="str">
        <f t="array" ref="B4">IFERROR(IF(INDEX('キャラ'!$B:$B,MATCH($A4,'キャラ'!$A:$A,0))=0,"",INDEX('キャラ'!$B:$B,MATCH($A4,'キャラ'!$A:$A,0))),"")</f>
        <v>ミカ</v>
      </c>
      <c r="C4" s="47" t="str">
        <f t="array" ref="C4">IFERROR(INDEX('キャラ'!$D:$D,MATCH($A4,'キャラ'!$A:$A,0)),"")</f>
        <v>本命</v>
      </c>
      <c r="D4" s="47" t="str">
        <f>IF($C4="モブ","不要",IF(COUNTBLANK('キャラ'!$G4:$I4)&gt;0,"未","済"))</f>
        <v>未</v>
      </c>
      <c r="E4" s="47">
        <f>COUNTIF('会話'!$B$2:$B$55,$A4)</f>
        <v>11</v>
      </c>
      <c r="F4" s="47">
        <f>COUNTIFS('会話'!$B$2:$B$55,$A4,'会話'!$O$2:$O$55,"OK")</f>
        <v>0</v>
      </c>
      <c r="G4" s="48">
        <f t="shared" si="1"/>
        <v>0</v>
      </c>
    </row>
    <row r="5">
      <c r="A5" s="46" t="s">
        <v>158</v>
      </c>
      <c r="B5" s="47" t="str">
        <f t="array" ref="B5">IFERROR(IF(INDEX('キャラ'!$B:$B,MATCH($A5,'キャラ'!$A:$A,0))=0,"",INDEX('キャラ'!$B:$B,MATCH($A5,'キャラ'!$A:$A,0))),"")</f>
        <v>さきこ</v>
      </c>
      <c r="C5" s="47" t="str">
        <f t="array" ref="C5">IFERROR(INDEX('キャラ'!$D:$D,MATCH($A5,'キャラ'!$A:$A,0)),"")</f>
        <v>モブ</v>
      </c>
      <c r="D5" s="47" t="str">
        <f>IF($C5="モブ","不要",IF(COUNTBLANK('キャラ'!$G5:$I5)&gt;0,"未","済"))</f>
        <v>不要</v>
      </c>
      <c r="E5" s="47">
        <f>COUNTIF('会話'!$B$2:$B$55,$A5)</f>
        <v>3</v>
      </c>
      <c r="F5" s="47">
        <f>COUNTIFS('会話'!$B$2:$B$55,$A5,'会話'!$O$2:$O$55,"OK")</f>
        <v>0</v>
      </c>
      <c r="G5" s="48">
        <f t="shared" si="1"/>
        <v>0</v>
      </c>
    </row>
    <row r="6">
      <c r="A6" s="46" t="s">
        <v>166</v>
      </c>
      <c r="B6" s="47" t="str">
        <f t="array" ref="B6">IFERROR(IF(INDEX('キャラ'!$B:$B,MATCH($A6,'キャラ'!$A:$A,0))=0,"",INDEX('キャラ'!$B:$B,MATCH($A6,'キャラ'!$A:$A,0))),"")</f>
        <v>シャノン</v>
      </c>
      <c r="C6" s="47" t="str">
        <f t="array" ref="C6">IFERROR(INDEX('キャラ'!$D:$D,MATCH($A6,'キャラ'!$A:$A,0)),"")</f>
        <v>モブ</v>
      </c>
      <c r="D6" s="47" t="str">
        <f>IF($C6="モブ","不要",IF(COUNTBLANK('キャラ'!$G6:$I6)&gt;0,"未","済"))</f>
        <v>不要</v>
      </c>
      <c r="E6" s="47">
        <f>COUNTIF('会話'!$B$2:$B$55,$A6)</f>
        <v>3</v>
      </c>
      <c r="F6" s="47">
        <f>COUNTIFS('会話'!$B$2:$B$55,$A6,'会話'!$O$2:$O$55,"OK")</f>
        <v>0</v>
      </c>
      <c r="G6" s="48">
        <f t="shared" si="1"/>
        <v>0</v>
      </c>
    </row>
    <row r="7">
      <c r="A7" s="46" t="s">
        <v>172</v>
      </c>
      <c r="B7" s="47" t="str">
        <f t="array" ref="B7">IFERROR(IF(INDEX('キャラ'!$B:$B,MATCH($A7,'キャラ'!$A:$A,0))=0,"",INDEX('キャラ'!$B:$B,MATCH($A7,'キャラ'!$A:$A,0))),"")</f>
        <v>アダム</v>
      </c>
      <c r="C7" s="47" t="str">
        <f t="array" ref="C7">IFERROR(INDEX('キャラ'!$D:$D,MATCH($A7,'キャラ'!$A:$A,0)),"")</f>
        <v>モブ</v>
      </c>
      <c r="D7" s="47" t="str">
        <f>IF($C7="モブ","不要",IF(COUNTBLANK('キャラ'!$G7:$I7)&gt;0,"未","済"))</f>
        <v>不要</v>
      </c>
      <c r="E7" s="47">
        <f>COUNTIF('会話'!$B$2:$B$55,$A7)</f>
        <v>3</v>
      </c>
      <c r="F7" s="47">
        <f>COUNTIFS('会話'!$B$2:$B$55,$A7,'会話'!$O$2:$O$55,"OK")</f>
        <v>0</v>
      </c>
      <c r="G7" s="48">
        <f t="shared" si="1"/>
        <v>0</v>
      </c>
    </row>
    <row r="8">
      <c r="A8" s="46" t="s">
        <v>177</v>
      </c>
      <c r="B8" s="47" t="str">
        <f t="array" ref="B8">IFERROR(IF(INDEX('キャラ'!$B:$B,MATCH($A8,'キャラ'!$A:$A,0))=0,"",INDEX('キャラ'!$B:$B,MATCH($A8,'キャラ'!$A:$A,0))),"")</f>
        <v/>
      </c>
      <c r="C8" s="47" t="str">
        <f t="array" ref="C8">IFERROR(INDEX('キャラ'!$D:$D,MATCH($A8,'キャラ'!$A:$A,0)),"")</f>
        <v>モブ</v>
      </c>
      <c r="D8" s="47" t="str">
        <f>IF($C8="モブ","不要",IF(COUNTBLANK('キャラ'!$G8:$I8)&gt;0,"未","済"))</f>
        <v>不要</v>
      </c>
      <c r="E8" s="47">
        <f>COUNTIF('会話'!$B$2:$B$55,$A8)</f>
        <v>3</v>
      </c>
      <c r="F8" s="47">
        <f>COUNTIFS('会話'!$B$2:$B$55,$A8,'会話'!$O$2:$O$55,"OK")</f>
        <v>0</v>
      </c>
      <c r="G8" s="48">
        <f t="shared" si="1"/>
        <v>0</v>
      </c>
    </row>
    <row r="9">
      <c r="A9" s="46" t="s">
        <v>179</v>
      </c>
      <c r="B9" s="47" t="str">
        <f t="array" ref="B9">IFERROR(IF(INDEX('キャラ'!$B:$B,MATCH($A9,'キャラ'!$A:$A,0))=0,"",INDEX('キャラ'!$B:$B,MATCH($A9,'キャラ'!$A:$A,0))),"")</f>
        <v/>
      </c>
      <c r="C9" s="47" t="str">
        <f t="array" ref="C9">IFERROR(INDEX('キャラ'!$D:$D,MATCH($A9,'キャラ'!$A:$A,0)),"")</f>
        <v>モブ</v>
      </c>
      <c r="D9" s="47" t="str">
        <f>IF($C9="モブ","不要",IF(COUNTBLANK('キャラ'!$G9:$I9)&gt;0,"未","済"))</f>
        <v>不要</v>
      </c>
      <c r="E9" s="47">
        <f>COUNTIF('会話'!$B$2:$B$55,$A9)</f>
        <v>3</v>
      </c>
      <c r="F9" s="47">
        <f>COUNTIFS('会話'!$B$2:$B$55,$A9,'会話'!$O$2:$O$55,"OK")</f>
        <v>0</v>
      </c>
      <c r="G9" s="48">
        <f t="shared" si="1"/>
        <v>0</v>
      </c>
    </row>
    <row r="10">
      <c r="A10" s="46" t="s">
        <v>187</v>
      </c>
      <c r="B10" s="47" t="str">
        <f t="array" ref="B10">IFERROR(IF(INDEX('キャラ'!$B:$B,MATCH($A10,'キャラ'!$A:$A,0))=0,"",INDEX('キャラ'!$B:$B,MATCH($A10,'キャラ'!$A:$A,0))),"")</f>
        <v/>
      </c>
      <c r="C10" s="47" t="str">
        <f t="array" ref="C10">IFERROR(INDEX('キャラ'!$D:$D,MATCH($A10,'キャラ'!$A:$A,0)),"")</f>
        <v>モブ</v>
      </c>
      <c r="D10" s="47" t="str">
        <f>IF($C10="モブ","不要",IF(COUNTBLANK('キャラ'!$G10:$I10)&gt;0,"未","済"))</f>
        <v>不要</v>
      </c>
      <c r="E10" s="47">
        <f>COUNTIF('会話'!$B$2:$B$55,$A10)</f>
        <v>3</v>
      </c>
      <c r="F10" s="47">
        <f>COUNTIFS('会話'!$B$2:$B$55,$A10,'会話'!$O$2:$O$55,"OK")</f>
        <v>0</v>
      </c>
      <c r="G10" s="48">
        <f t="shared" si="1"/>
        <v>0</v>
      </c>
    </row>
    <row r="11">
      <c r="A11" s="46" t="s">
        <v>200</v>
      </c>
      <c r="B11" s="47" t="str">
        <f t="array" ref="B11">IFERROR(IF(INDEX('キャラ'!$B:$B,MATCH($A11,'キャラ'!$A:$A,0))=0,"",INDEX('キャラ'!$B:$B,MATCH($A11,'キャラ'!$A:$A,0))),"")</f>
        <v/>
      </c>
      <c r="C11" s="47" t="str">
        <f t="array" ref="C11">IFERROR(INDEX('キャラ'!$D:$D,MATCH($A11,'キャラ'!$A:$A,0)),"")</f>
        <v>モブ</v>
      </c>
      <c r="D11" s="47" t="str">
        <f>IF($C11="モブ","不要",IF(COUNTBLANK('キャラ'!$G11:$I11)&gt;0,"未","済"))</f>
        <v>不要</v>
      </c>
      <c r="E11" s="47">
        <f>COUNTIF('会話'!$B$2:$B$55,$A11)</f>
        <v>3</v>
      </c>
      <c r="F11" s="47">
        <f>COUNTIFS('会話'!$B$2:$B$55,$A11,'会話'!$O$2:$O$55,"OK")</f>
        <v>0</v>
      </c>
      <c r="G11" s="48">
        <f t="shared" si="1"/>
        <v>0</v>
      </c>
    </row>
    <row r="12">
      <c r="A12" s="51"/>
      <c r="B12" s="52" t="s">
        <v>211</v>
      </c>
      <c r="C12" s="51"/>
      <c r="D12" s="51"/>
      <c r="E12" s="52">
        <f t="shared" ref="E12:F12" si="2">SUM(E2:E11)</f>
        <v>54</v>
      </c>
      <c r="F12" s="52">
        <f t="shared" si="2"/>
        <v>9</v>
      </c>
      <c r="G12" s="53">
        <f>IF(E12=0,0,F12/E12)</f>
        <v>0.1666666667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2026-07-14T08:02:24Z</dcterms:created>
  <dc:creator>openpyxl</dc:creator>
</cp:coreProperties>
</file>

<file path=docProps/custom.xml><?xml version="1.0" encoding="utf-8"?>
<Properties xmlns="http://schemas.openxmlformats.org/officeDocument/2006/custom-properties" xmlns:vt="http://schemas.openxmlformats.org/officeDocument/2006/docPropsVTypes"/>
</file>